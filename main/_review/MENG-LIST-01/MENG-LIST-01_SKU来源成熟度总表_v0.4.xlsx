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SKU总表" sheetId="2" state="visible" r:id="rId4"/>
    <sheet name="缺口与责任人" sheetId="3" state="visible" r:id="rId5"/>
    <sheet name="官网风险文案" sheetId="4" state="visible" r:id="rId6"/>
    <sheet name="客户常见问题" sheetId="5" state="visible" r:id="rId7"/>
    <sheet name="修改记录" sheetId="6" state="visible" r:id="rId8"/>
  </sheets>
  <definedNames>
    <definedName function="false" hidden="true" localSheetId="1" name="_xlnm._FilterDatabase" vbProcedure="false">SKU总表!$A$1:$AF$42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<sst xmlns="http://schemas.openxmlformats.org/spreadsheetml/2006/main" count="1634" uniqueCount="553">
  <si>
    <r>
      <rPr>
        <b val="true"/>
        <sz val="14"/>
        <rFont val="Arial"/>
        <family val="0"/>
        <charset val="1"/>
      </rPr>
      <t xml:space="preserve">MENG-LIST-01 · </t>
    </r>
    <r>
      <rPr>
        <b val="true"/>
        <sz val="14"/>
        <rFont val="Noto Sans CJK SC"/>
        <family val="2"/>
      </rPr>
      <t xml:space="preserve">产品来源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成熟度总表</t>
    </r>
  </si>
  <si>
    <t xml:space="preserve">版本</t>
  </si>
  <si>
    <r>
      <rPr>
        <sz val="11"/>
        <rFont val="Arial"/>
        <family val="0"/>
        <charset val="1"/>
      </rPr>
      <t xml:space="preserve">v0.4 </t>
    </r>
    <r>
      <rPr>
        <sz val="11"/>
        <rFont val="Noto Sans CJK SC"/>
        <family val="2"/>
      </rPr>
      <t xml:space="preserve">草稿 </t>
    </r>
    <r>
      <rPr>
        <sz val="11"/>
        <rFont val="Arial"/>
        <family val="0"/>
        <charset val="1"/>
      </rPr>
      <t xml:space="preserve">· 2026-10-28</t>
    </r>
    <r>
      <rPr>
        <sz val="11"/>
        <rFont val="Noto Sans CJK SC"/>
        <family val="2"/>
      </rPr>
      <t xml:space="preserve">（美西）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待研发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采购逐项确认，未经审定不得对外使用</t>
    </r>
  </si>
  <si>
    <t xml:space="preserve">用途</t>
  </si>
  <si>
    <r>
      <rPr>
        <sz val="11"/>
        <rFont val="Noto Sans CJK SC"/>
        <family val="2"/>
      </rPr>
      <t xml:space="preserve">对应 </t>
    </r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邮件节点 </t>
    </r>
    <r>
      <rPr>
        <sz val="11"/>
        <rFont val="Arial"/>
        <family val="0"/>
        <charset val="1"/>
      </rPr>
      <t xml:space="preserve">10-22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SKU </t>
    </r>
    <r>
      <rPr>
        <sz val="11"/>
        <rFont val="Noto Sans CJK SC"/>
        <family val="2"/>
      </rPr>
      <t xml:space="preserve">总表。供 </t>
    </r>
    <r>
      <rPr>
        <sz val="11"/>
        <rFont val="Arial"/>
        <family val="0"/>
        <charset val="1"/>
      </rPr>
      <t xml:space="preserve">10-23 </t>
    </r>
    <r>
      <rPr>
        <sz val="11"/>
        <rFont val="Noto Sans CJK SC"/>
        <family val="2"/>
      </rPr>
      <t xml:space="preserve">模板与 </t>
    </r>
    <r>
      <rPr>
        <sz val="11"/>
        <rFont val="Arial"/>
        <family val="0"/>
        <charset val="1"/>
      </rPr>
      <t xml:space="preserve">10-26/10-28 </t>
    </r>
    <r>
      <rPr>
        <sz val="11"/>
        <rFont val="Noto Sans CJK SC"/>
        <family val="2"/>
      </rPr>
      <t xml:space="preserve">页面直接取用。</t>
    </r>
  </si>
  <si>
    <t xml:space="preserve">数据来源</t>
  </si>
  <si>
    <t xml:space="preserve">[Q]</t>
  </si>
  <si>
    <r>
      <rPr>
        <sz val="11"/>
        <rFont val="Arial"/>
        <family val="0"/>
        <charset val="1"/>
      </rPr>
      <t xml:space="preserve">Ai Products Quotation 10-15-2026</t>
    </r>
    <r>
      <rPr>
        <sz val="11"/>
        <rFont val="Noto Sans CJK SC"/>
        <family val="2"/>
      </rPr>
      <t xml:space="preserve">（供应商报价单，</t>
    </r>
    <r>
      <rPr>
        <sz val="11"/>
        <rFont val="Arial"/>
        <family val="0"/>
        <charset val="1"/>
      </rPr>
      <t xml:space="preserve">EXW </t>
    </r>
    <r>
      <rPr>
        <sz val="11"/>
        <rFont val="Noto Sans CJK SC"/>
        <family val="2"/>
      </rPr>
      <t xml:space="preserve">深圳）— 规格与参考价；价格须 </t>
    </r>
    <r>
      <rPr>
        <sz val="11"/>
        <rFont val="Arial"/>
        <family val="0"/>
        <charset val="1"/>
      </rPr>
      <t xml:space="preserve">Yuki/Swallow </t>
    </r>
    <r>
      <rPr>
        <sz val="11"/>
        <rFont val="Noto Sans CJK SC"/>
        <family val="2"/>
      </rPr>
      <t xml:space="preserve">核定</t>
    </r>
  </si>
  <si>
    <t xml:space="preserve">[T]</t>
  </si>
  <si>
    <r>
      <rPr>
        <sz val="11"/>
        <rFont val="Arial"/>
        <family val="0"/>
        <charset val="1"/>
      </rPr>
      <t xml:space="preserve">Trigg 10/21 </t>
    </r>
    <r>
      <rPr>
        <sz val="11"/>
        <rFont val="Noto Sans CJK SC"/>
        <family val="2"/>
      </rPr>
      <t xml:space="preserve">邮件及附件《官网</t>
    </r>
    <r>
      <rPr>
        <sz val="11"/>
        <rFont val="Arial"/>
        <family val="0"/>
        <charset val="1"/>
      </rPr>
      <t xml:space="preserve">PCBA</t>
    </r>
    <r>
      <rPr>
        <sz val="11"/>
        <rFont val="Noto Sans CJK SC"/>
        <family val="2"/>
      </rPr>
      <t xml:space="preserve">方案与</t>
    </r>
    <r>
      <rPr>
        <sz val="11"/>
        <rFont val="Arial"/>
        <family val="0"/>
        <charset val="1"/>
      </rPr>
      <t xml:space="preserve">Meng</t>
    </r>
    <r>
      <rPr>
        <sz val="11"/>
        <rFont val="Noto Sans CJK SC"/>
        <family val="2"/>
      </rPr>
      <t xml:space="preserve">执行安排》— 来源、成熟度边界、需统一事实</t>
    </r>
  </si>
  <si>
    <t xml:space="preserve">[W]</t>
  </si>
  <si>
    <r>
      <rPr>
        <sz val="11"/>
        <rFont val="Noto Sans CJK SC"/>
        <family val="2"/>
      </rPr>
      <t xml:space="preserve">官网 </t>
    </r>
    <r>
      <rPr>
        <sz val="11"/>
        <rFont val="Arial"/>
        <family val="0"/>
        <charset val="1"/>
      </rPr>
      <t xml:space="preserve">products/*/index.html </t>
    </r>
    <r>
      <rPr>
        <sz val="11"/>
        <rFont val="Noto Sans CJK SC"/>
        <family val="2"/>
      </rPr>
      <t xml:space="preserve">现状（</t>
    </r>
    <r>
      <rPr>
        <sz val="11"/>
        <rFont val="Arial"/>
        <family val="0"/>
        <charset val="1"/>
      </rPr>
      <t xml:space="preserve">10/21 </t>
    </r>
    <r>
      <rPr>
        <sz val="11"/>
        <rFont val="Noto Sans CJK SC"/>
        <family val="2"/>
      </rPr>
      <t xml:space="preserve">本地核读）</t>
    </r>
  </si>
  <si>
    <t xml:space="preserve">[C]</t>
  </si>
  <si>
    <r>
      <rPr>
        <sz val="11"/>
        <rFont val="Arial"/>
        <family val="0"/>
        <charset val="1"/>
      </rPr>
      <t xml:space="preserve">AI Catalog GMIC 10-21-2026</t>
    </r>
    <r>
      <rPr>
        <sz val="11"/>
        <rFont val="Noto Sans CJK SC"/>
        <family val="2"/>
      </rPr>
      <t xml:space="preserve">（公司产品目录）— 官方型号名称、在售清单、产品图；营销性说法未经核实，不直接采用</t>
    </r>
  </si>
  <si>
    <t xml:space="preserve">[Y]</t>
  </si>
  <si>
    <r>
      <rPr>
        <sz val="11"/>
        <rFont val="Arial"/>
        <family val="0"/>
        <charset val="1"/>
      </rPr>
      <t xml:space="preserve">Yuki </t>
    </r>
    <r>
      <rPr>
        <sz val="11"/>
        <rFont val="Noto Sans CJK SC"/>
        <family val="2"/>
      </rPr>
      <t xml:space="preserve">上周微信回复（具体日期待补）— 官网价格公开口径、客户常见问题清单；见“客户常见问题”页</t>
    </r>
  </si>
  <si>
    <t xml:space="preserve">品牌</t>
  </si>
  <si>
    <r>
      <rPr>
        <sz val="11"/>
        <rFont val="Noto Sans CJK SC"/>
        <family val="2"/>
      </rPr>
      <t xml:space="preserve">公司名为 </t>
    </r>
    <r>
      <rPr>
        <sz val="11"/>
        <rFont val="Arial"/>
        <family val="0"/>
        <charset val="1"/>
      </rPr>
      <t xml:space="preserve">GMIC AI</t>
    </r>
    <r>
      <rPr>
        <sz val="11"/>
        <rFont val="Noto Sans CJK SC"/>
        <family val="2"/>
      </rPr>
      <t xml:space="preserve">（不再使用 </t>
    </r>
    <r>
      <rPr>
        <sz val="11"/>
        <rFont val="Arial"/>
        <family val="0"/>
        <charset val="1"/>
      </rPr>
      <t xml:space="preserve">Hearit.ai</t>
    </r>
    <r>
      <rPr>
        <sz val="11"/>
        <rFont val="Noto Sans CJK SC"/>
        <family val="2"/>
      </rPr>
      <t xml:space="preserve">）。</t>
    </r>
    <r>
      <rPr>
        <sz val="11"/>
        <rFont val="Arial"/>
        <family val="0"/>
        <charset val="1"/>
      </rPr>
      <t xml:space="preserve">[C] </t>
    </r>
    <r>
      <rPr>
        <sz val="11"/>
        <rFont val="Noto Sans CJK SC"/>
        <family val="2"/>
      </rPr>
      <t xml:space="preserve">中的“</t>
    </r>
    <r>
      <rPr>
        <sz val="11"/>
        <rFont val="Arial"/>
        <family val="0"/>
        <charset val="1"/>
      </rPr>
      <t xml:space="preserve">Hearit.ai”</t>
    </r>
    <r>
      <rPr>
        <sz val="11"/>
        <rFont val="Noto Sans CJK SC"/>
        <family val="2"/>
      </rPr>
      <t xml:space="preserve">前缀不沿用，本表只记型号名；产品对外品牌前缀待 </t>
    </r>
    <r>
      <rPr>
        <sz val="11"/>
        <rFont val="Arial"/>
        <family val="0"/>
        <charset val="1"/>
      </rPr>
      <t xml:space="preserve">Trigg </t>
    </r>
    <r>
      <rPr>
        <sz val="11"/>
        <rFont val="Noto Sans CJK SC"/>
        <family val="2"/>
      </rPr>
      <t xml:space="preserve">定</t>
    </r>
  </si>
  <si>
    <r>
      <rPr>
        <b val="true"/>
        <sz val="11"/>
        <color rgb="FF1F2A44"/>
        <rFont val="Noto Sans CJK SC"/>
        <family val="2"/>
      </rPr>
      <t xml:space="preserve">状态取值（黄色格子为待填</t>
    </r>
    <r>
      <rPr>
        <b val="true"/>
        <sz val="11"/>
        <color rgb="FF1F2A44"/>
        <rFont val="Arial"/>
        <family val="0"/>
        <charset val="1"/>
      </rPr>
      <t xml:space="preserve">/</t>
    </r>
    <r>
      <rPr>
        <b val="true"/>
        <sz val="11"/>
        <color rgb="FF1F2A44"/>
        <rFont val="Noto Sans CJK SC"/>
        <family val="2"/>
      </rPr>
      <t xml:space="preserve">待确认）</t>
    </r>
  </si>
  <si>
    <t xml:space="preserve">标准</t>
  </si>
  <si>
    <t xml:space="preserve">已具备，且已按准确出货版本核实（目前本表无任何一项达到此状态）</t>
  </si>
  <si>
    <t xml:space="preserve">需定制</t>
  </si>
  <si>
    <r>
      <rPr>
        <sz val="11"/>
        <rFont val="Noto Sans CJK SC"/>
        <family val="2"/>
      </rPr>
      <t xml:space="preserve">可做，但需 </t>
    </r>
    <r>
      <rPr>
        <sz val="11"/>
        <rFont val="Arial"/>
        <family val="0"/>
        <charset val="1"/>
      </rPr>
      <t xml:space="preserve">NRE/</t>
    </r>
    <r>
      <rPr>
        <sz val="11"/>
        <rFont val="Noto Sans CJK SC"/>
        <family val="2"/>
      </rPr>
      <t xml:space="preserve">定制固件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改板，不属于现售标准配置</t>
    </r>
  </si>
  <si>
    <t xml:space="preserve">待验证</t>
  </si>
  <si>
    <r>
      <rPr>
        <sz val="11"/>
        <rFont val="Noto Sans CJK SC"/>
        <family val="2"/>
      </rPr>
      <t xml:space="preserve">有线索或定位，但未经该版本实测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工程签认</t>
    </r>
  </si>
  <si>
    <t xml:space="preserve">不支持</t>
  </si>
  <si>
    <t xml:space="preserve">已确认不具备</t>
  </si>
  <si>
    <t xml:space="preserve">待确认</t>
  </si>
  <si>
    <t xml:space="preserve">尚无任何依据，需向责任人询问</t>
  </si>
  <si>
    <t xml:space="preserve">填写规则</t>
  </si>
  <si>
    <t xml:space="preserve">1</t>
  </si>
  <si>
    <t xml:space="preserve">不替工程判断参数；没有依据的一律写“待确认”，不写“支持”。</t>
  </si>
  <si>
    <t xml:space="preserve">2</t>
  </si>
  <si>
    <t xml:space="preserve">责任人一栏为“建议向谁确认”，不代表对方已承诺；需求日期为页面节点倒推，不是对方承诺日期。</t>
  </si>
  <si>
    <t xml:space="preserve">3</t>
  </si>
  <si>
    <r>
      <rPr>
        <sz val="11"/>
        <rFont val="Noto Sans CJK SC"/>
        <family val="2"/>
      </rPr>
      <t xml:space="preserve">每次更新改版本号（</t>
    </r>
    <r>
      <rPr>
        <sz val="11"/>
        <rFont val="Arial"/>
        <family val="0"/>
        <charset val="1"/>
      </rPr>
      <t xml:space="preserve">v0.2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v0.3…</t>
    </r>
    <r>
      <rPr>
        <sz val="11"/>
        <rFont val="Noto Sans CJK SC"/>
        <family val="2"/>
      </rPr>
      <t xml:space="preserve">），并在“修改记录”页记一行。</t>
    </r>
  </si>
  <si>
    <t xml:space="preserve">4</t>
  </si>
  <si>
    <t xml:space="preserve">客户名称仅内部使用，不进入官网文案。</t>
  </si>
  <si>
    <t xml:space="preserve">统计（自动）</t>
  </si>
  <si>
    <t xml:space="preserve">本轮页面：四条路径格中“标准”</t>
  </si>
  <si>
    <t xml:space="preserve">本轮页面：四条路径格中“需定制”</t>
  </si>
  <si>
    <t xml:space="preserve">本轮页面：四条路径格中“待验证”</t>
  </si>
  <si>
    <t xml:space="preserve">本轮页面：四条路径格中“不支持”</t>
  </si>
  <si>
    <t xml:space="preserve">本轮页面：四条路径格中“待确认”</t>
  </si>
  <si>
    <t xml:space="preserve">本轮页面：“待确认”格数</t>
  </si>
  <si>
    <r>
      <rPr>
        <b val="true"/>
        <sz val="10"/>
        <color rgb="FFFFFFFF"/>
        <rFont val="Noto Sans CJK SC"/>
        <family val="2"/>
      </rPr>
      <t xml:space="preserve">批次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优先级</t>
    </r>
  </si>
  <si>
    <t xml:space="preserve">页面方案</t>
  </si>
  <si>
    <t xml:space="preserve">SKU</t>
  </si>
  <si>
    <t xml:space="preserve">产品名</t>
  </si>
  <si>
    <t xml:space="preserve">交付形态</t>
  </si>
  <si>
    <r>
      <rPr>
        <b val="true"/>
        <sz val="10"/>
        <color rgb="FFFFFFFF"/>
        <rFont val="Noto Sans CJK SC"/>
        <family val="2"/>
      </rPr>
      <t xml:space="preserve">样品</t>
    </r>
    <r>
      <rPr>
        <b val="true"/>
        <sz val="10"/>
        <color rgb="FFFFFFFF"/>
        <rFont val="Arial"/>
        <family val="0"/>
        <charset val="1"/>
      </rPr>
      <t xml:space="preserve">/SN</t>
    </r>
  </si>
  <si>
    <t xml:space="preserve">硬件版本</t>
  </si>
  <si>
    <t xml:space="preserve">固件版本</t>
  </si>
  <si>
    <r>
      <rPr>
        <b val="true"/>
        <sz val="10"/>
        <color rgb="FFFFFFFF"/>
        <rFont val="Noto Sans CJK SC"/>
        <family val="2"/>
      </rPr>
      <t xml:space="preserve">来源（采购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自研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合作）</t>
    </r>
  </si>
  <si>
    <t xml:space="preserve">来源依据</t>
  </si>
  <si>
    <t xml:space="preserve">成熟度</t>
  </si>
  <si>
    <r>
      <rPr>
        <b val="true"/>
        <sz val="10"/>
        <color rgb="FFFFFFFF"/>
        <rFont val="Noto Sans CJK SC"/>
        <family val="2"/>
      </rPr>
      <t xml:space="preserve">关键规格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</si>
  <si>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Noto Sans CJK SC"/>
        <family val="2"/>
      </rPr>
      <t xml:space="preserve">本地录音→</t>
    </r>
    <r>
      <rPr>
        <b val="true"/>
        <sz val="10"/>
        <color rgb="FFFFFFFF"/>
        <rFont val="Arial"/>
        <family val="0"/>
        <charset val="1"/>
      </rPr>
      <t xml:space="preserve">App</t>
    </r>
    <r>
      <rPr>
        <b val="true"/>
        <sz val="10"/>
        <color rgb="FFFFFFFF"/>
        <rFont val="Noto Sans CJK SC"/>
        <family val="2"/>
      </rPr>
      <t xml:space="preserve">同步</t>
    </r>
  </si>
  <si>
    <t xml:space="preserve">实时流</t>
  </si>
  <si>
    <r>
      <rPr>
        <b val="true"/>
        <sz val="10"/>
        <color rgb="FFFFFFFF"/>
        <rFont val="Arial"/>
        <family val="0"/>
        <charset val="1"/>
      </rPr>
      <t xml:space="preserve">Wi-Fi</t>
    </r>
    <r>
      <rPr>
        <b val="true"/>
        <sz val="10"/>
        <color rgb="FFFFFFFF"/>
        <rFont val="Noto Sans CJK SC"/>
        <family val="2"/>
      </rPr>
      <t xml:space="preserve">本地快传</t>
    </r>
  </si>
  <si>
    <t xml:space="preserve">设备直传自有云</t>
  </si>
  <si>
    <r>
      <rPr>
        <b val="true"/>
        <sz val="10"/>
        <color rgb="FFFFFFFF"/>
        <rFont val="Noto Sans CJK SC"/>
        <family val="2"/>
      </rPr>
      <t xml:space="preserve">路径备注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边界</t>
    </r>
  </si>
  <si>
    <t xml:space="preserve">实物图</t>
  </si>
  <si>
    <r>
      <rPr>
        <b val="true"/>
        <sz val="10"/>
        <color rgb="FFFFFFFF"/>
        <rFont val="Noto Sans CJK SC"/>
        <family val="2"/>
      </rPr>
      <t xml:space="preserve">板框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尺寸图</t>
    </r>
  </si>
  <si>
    <r>
      <rPr>
        <b val="true"/>
        <sz val="10"/>
        <color rgb="FFFFFFFF"/>
        <rFont val="Noto Sans CJK SC"/>
        <family val="2"/>
      </rPr>
      <t xml:space="preserve">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天线位置</t>
    </r>
  </si>
  <si>
    <t xml:space="preserve">原始音频</t>
  </si>
  <si>
    <t xml:space="preserve">实机接入演示</t>
  </si>
  <si>
    <t xml:space="preserve">认证</t>
  </si>
  <si>
    <t xml:space="preserve">OTA</t>
  </si>
  <si>
    <r>
      <rPr>
        <b val="true"/>
        <sz val="10"/>
        <color rgb="FFFFFFFF"/>
        <rFont val="Noto Sans CJK SC"/>
        <family val="2"/>
      </rPr>
      <t xml:space="preserve">样品参考价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</si>
  <si>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r>
      <rPr>
        <b val="true"/>
        <sz val="10"/>
        <color rgb="FFFFFFFF"/>
        <rFont val="Arial"/>
        <family val="0"/>
        <charset val="1"/>
      </rPr>
      <t xml:space="preserve">1000pcs</t>
    </r>
    <r>
      <rPr>
        <b val="true"/>
        <sz val="10"/>
        <color rgb="FFFFFFFF"/>
        <rFont val="Noto Sans CJK SC"/>
        <family val="2"/>
      </rPr>
      <t xml:space="preserve">参考价 </t>
    </r>
    <r>
      <rPr>
        <b val="true"/>
        <sz val="10"/>
        <color rgb="FFFFFFFF"/>
        <rFont val="Arial"/>
        <family val="0"/>
        <charset val="1"/>
      </rPr>
      <t xml:space="preserve">[Q]</t>
    </r>
  </si>
  <si>
    <t xml:space="preserve">NRE</t>
  </si>
  <si>
    <r>
      <rPr>
        <b val="true"/>
        <sz val="10"/>
        <color rgb="FFFFFFFF"/>
        <rFont val="Arial"/>
        <family val="0"/>
        <charset val="1"/>
      </rPr>
      <t xml:space="preserve">SDK</t>
    </r>
    <r>
      <rPr>
        <b val="true"/>
        <sz val="10"/>
        <color rgb="FFFFFFFF"/>
        <rFont val="Noto Sans CJK SC"/>
        <family val="2"/>
      </rPr>
      <t xml:space="preserve">范围（</t>
    </r>
    <r>
      <rPr>
        <b val="true"/>
        <sz val="10"/>
        <color rgb="FFFFFFFF"/>
        <rFont val="Arial"/>
        <family val="0"/>
        <charset val="1"/>
      </rPr>
      <t xml:space="preserve">App SDK/</t>
    </r>
    <r>
      <rPr>
        <b val="true"/>
        <sz val="10"/>
        <color rgb="FFFFFFFF"/>
        <rFont val="Noto Sans CJK SC"/>
        <family val="2"/>
      </rPr>
      <t xml:space="preserve">协议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固件源码）</t>
    </r>
  </si>
  <si>
    <r>
      <rPr>
        <b val="true"/>
        <sz val="10"/>
        <color rgb="FFFFFFFF"/>
        <rFont val="Noto Sans CJK SC"/>
        <family val="2"/>
      </rPr>
      <t xml:space="preserve">官网现状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冲突 </t>
    </r>
    <r>
      <rPr>
        <b val="true"/>
        <sz val="10"/>
        <color rgb="FFFFFFFF"/>
        <rFont val="Arial"/>
        <family val="0"/>
        <charset val="1"/>
      </rPr>
      <t xml:space="preserve">[W]</t>
    </r>
  </si>
  <si>
    <t xml:space="preserve">建议确认人</t>
  </si>
  <si>
    <t xml:space="preserve">需求日期</t>
  </si>
  <si>
    <t xml:space="preserve">备注</t>
  </si>
  <si>
    <r>
      <rPr>
        <b val="true"/>
        <sz val="11"/>
        <color rgb="FF1F2A44"/>
        <rFont val="Noto Sans CJK SC"/>
        <family val="2"/>
      </rPr>
      <t xml:space="preserve">第一批 </t>
    </r>
    <r>
      <rPr>
        <b val="true"/>
        <sz val="11"/>
        <color rgb="FF1F2A44"/>
        <rFont val="Arial"/>
        <family val="0"/>
        <charset val="1"/>
      </rPr>
      <t xml:space="preserve">· P0</t>
    </r>
  </si>
  <si>
    <t xml:space="preserve">P0-01</t>
  </si>
  <si>
    <t xml:space="preserve">磁吸卡片整机</t>
  </si>
  <si>
    <t xml:space="preserve">HA-CS01</t>
  </si>
  <si>
    <r>
      <rPr>
        <sz val="10"/>
        <rFont val="Arial"/>
        <family val="0"/>
        <charset val="1"/>
      </rPr>
      <t xml:space="preserve">CardRec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</si>
  <si>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整机</t>
  </si>
  <si>
    <r>
      <rPr>
        <sz val="10"/>
        <rFont val="Noto Sans CJK SC"/>
        <family val="2"/>
      </rPr>
      <t xml:space="preserve">供应商固件路线；硬件</t>
    </r>
    <r>
      <rPr>
        <sz val="10"/>
        <rFont val="Arial"/>
        <family val="0"/>
        <charset val="1"/>
      </rPr>
      <t xml:space="preserve">/IP</t>
    </r>
    <r>
      <rPr>
        <sz val="10"/>
        <rFont val="Noto Sans CJK SC"/>
        <family val="2"/>
      </rPr>
      <t xml:space="preserve">归属待采购确认</t>
    </r>
  </si>
  <si>
    <r>
      <rPr>
        <sz val="10"/>
        <rFont val="Arial"/>
        <family val="0"/>
        <charset val="1"/>
      </rPr>
      <t xml:space="preserve">[T] CS01</t>
    </r>
    <r>
      <rPr>
        <sz val="10"/>
        <rFont val="Noto Sans CJK SC"/>
        <family val="2"/>
      </rPr>
      <t xml:space="preserve">供应商固件事件 </t>
    </r>
    <r>
      <rPr>
        <sz val="10"/>
        <rFont val="Arial"/>
        <family val="0"/>
        <charset val="1"/>
      </rPr>
      <t xml:space="preserve">61772cc9…</t>
    </r>
    <r>
      <rPr>
        <sz val="10"/>
        <rFont val="Noto Sans CJK SC"/>
        <family val="2"/>
      </rPr>
      <t xml:space="preserve">（转引，需采购复核）</t>
    </r>
  </si>
  <si>
    <r>
      <rPr>
        <sz val="10"/>
        <rFont val="Noto Sans CJK SC"/>
        <family val="2"/>
      </rPr>
      <t xml:space="preserve">现售整机（报价单在列）；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未开放、认证未完成（</t>
    </r>
    <r>
      <rPr>
        <sz val="10"/>
        <rFont val="Arial"/>
        <family val="0"/>
        <charset val="1"/>
      </rPr>
      <t xml:space="preserve">10/21</t>
    </r>
    <r>
      <rPr>
        <sz val="10"/>
        <rFont val="Noto Sans CJK SC"/>
        <family val="2"/>
      </rPr>
      <t xml:space="preserve">工程回复，转引自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</si>
  <si>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0.5" 88×48</t>
    </r>
    <r>
      <rPr>
        <sz val="10"/>
        <rFont val="Noto Sans CJK SC"/>
        <family val="2"/>
      </rPr>
      <t xml:space="preserve">单色屏；振动；内置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玻璃；</t>
    </r>
    <r>
      <rPr>
        <sz val="10"/>
        <rFont val="Arial"/>
        <family val="0"/>
        <charset val="1"/>
      </rPr>
      <t xml:space="preserve">60g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88.4×57×4.5mm</t>
    </r>
  </si>
  <si>
    <r>
      <rPr>
        <sz val="10"/>
        <rFont val="Arial"/>
        <family val="0"/>
        <charset val="1"/>
      </rPr>
      <t xml:space="preserve">[T] BLE</t>
    </r>
    <r>
      <rPr>
        <sz val="10"/>
        <rFont val="Noto Sans CJK SC"/>
        <family val="2"/>
      </rPr>
      <t xml:space="preserve">控制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文件与本地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快传“按该版核验”。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快传到手机≠无手机直传云。不得用</t>
    </r>
    <r>
      <rPr>
        <sz val="10"/>
        <rFont val="Arial"/>
        <family val="0"/>
        <charset val="1"/>
      </rPr>
      <t xml:space="preserve">CS03</t>
    </r>
    <r>
      <rPr>
        <sz val="10"/>
        <rFont val="Noto Sans CJK SC"/>
        <family val="2"/>
      </rPr>
      <t xml:space="preserve">续传测试替代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。电话振动传感器有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无需分配置。</t>
    </r>
  </si>
  <si>
    <r>
      <rPr>
        <sz val="10"/>
        <rFont val="Noto Sans CJK SC"/>
        <family val="2"/>
      </rPr>
      <t xml:space="preserve">未完成（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，待工程按型号确认）</t>
    </r>
  </si>
  <si>
    <r>
      <rPr>
        <sz val="10"/>
        <rFont val="Noto Sans CJK SC"/>
        <family val="2"/>
      </rPr>
      <t xml:space="preserve">未开放；签名</t>
    </r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为定制（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</si>
  <si>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products/cs01 </t>
    </r>
    <r>
      <rPr>
        <sz val="10"/>
        <rFont val="Noto Sans CJK SC"/>
        <family val="2"/>
      </rPr>
      <t xml:space="preserve">已有页：页面名“</t>
    </r>
    <r>
      <rPr>
        <sz val="10"/>
        <rFont val="Arial"/>
        <family val="0"/>
        <charset val="1"/>
      </rPr>
      <t xml:space="preserve">CardMic”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[C]“CardRec”</t>
    </r>
    <r>
      <rPr>
        <sz val="10"/>
        <rFont val="Noto Sans CJK SC"/>
        <family val="2"/>
      </rPr>
      <t xml:space="preserve">不符；写了 </t>
    </r>
    <r>
      <rPr>
        <sz val="10"/>
        <rFont val="Arial"/>
        <family val="0"/>
        <charset val="1"/>
      </rPr>
      <t xml:space="preserve">Device→Cloud </t>
    </r>
    <r>
      <rPr>
        <sz val="10"/>
        <rFont val="Noto Sans CJK SC"/>
        <family val="2"/>
      </rPr>
      <t xml:space="preserve">直传与 </t>
    </r>
    <r>
      <rPr>
        <sz val="10"/>
        <rFont val="Arial"/>
        <family val="0"/>
        <charset val="1"/>
      </rPr>
      <t xml:space="preserve">speaker identification</t>
    </r>
    <r>
      <rPr>
        <sz val="10"/>
        <rFont val="Noto Sans CJK SC"/>
        <family val="2"/>
      </rPr>
      <t xml:space="preserve">；页脚挂 </t>
    </r>
    <r>
      <rPr>
        <sz val="10"/>
        <rFont val="Arial"/>
        <family val="0"/>
        <charset val="1"/>
      </rPr>
      <t xml:space="preserve">FCC/CE </t>
    </r>
    <r>
      <rPr>
        <sz val="10"/>
        <rFont val="Noto Sans CJK SC"/>
        <family val="2"/>
      </rPr>
      <t xml:space="preserve">等认证 → 与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冲突，需改</t>
    </r>
  </si>
  <si>
    <r>
      <rPr>
        <sz val="10"/>
        <rFont val="Noto Sans CJK SC"/>
        <family val="2"/>
      </rPr>
      <t xml:space="preserve">吴胜宇（版本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路径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实测）；吴琼（来源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固件权属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样品）；黄俊鹏（图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尺寸）</t>
    </r>
  </si>
  <si>
    <t xml:space="preserve">10-24</t>
  </si>
  <si>
    <t xml:space="preserve">P0-02</t>
  </si>
  <si>
    <r>
      <rPr>
        <sz val="10"/>
        <rFont val="Noto Sans CJK SC"/>
        <family val="2"/>
      </rPr>
      <t xml:space="preserve">录音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评估套件</t>
    </r>
  </si>
  <si>
    <t xml:space="preserve">HA-CS02_PCBA</t>
  </si>
  <si>
    <r>
      <rPr>
        <sz val="10"/>
        <rFont val="Arial"/>
        <family val="0"/>
        <charset val="1"/>
      </rPr>
      <t xml:space="preserve">CardRec PCBA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</si>
  <si>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；评估套件（配件待定）；整机入口待定</t>
    </r>
  </si>
  <si>
    <t xml:space="preserve">待采购确认（来源、修改权、维护责任）</t>
  </si>
  <si>
    <r>
      <rPr>
        <sz val="10"/>
        <rFont val="Arial"/>
        <family val="0"/>
        <charset val="1"/>
      </rPr>
      <t xml:space="preserve">[T] CS02 </t>
    </r>
    <r>
      <rPr>
        <sz val="10"/>
        <rFont val="Noto Sans CJK SC"/>
        <family val="2"/>
      </rPr>
      <t xml:space="preserve">源头尚需确认；与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关系由工程确认</t>
    </r>
  </si>
  <si>
    <r>
      <rPr>
        <sz val="10"/>
        <rFont val="Arial"/>
        <family val="0"/>
        <charset val="1"/>
      </rPr>
      <t xml:space="preserve">802.11a/ac/ax 5GHz 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骨传导麦；振动；</t>
    </r>
    <r>
      <rPr>
        <sz val="10"/>
        <rFont val="Arial"/>
        <family val="0"/>
        <charset val="1"/>
      </rPr>
      <t xml:space="preserve">5V/300mA</t>
    </r>
    <r>
      <rPr>
        <sz val="10"/>
        <rFont val="Noto Sans CJK SC"/>
        <family val="2"/>
      </rPr>
      <t xml:space="preserve">；支持</t>
    </r>
    <r>
      <rPr>
        <sz val="10"/>
        <rFont val="Arial"/>
        <family val="0"/>
        <charset val="1"/>
      </rPr>
      <t xml:space="preserve">204843</t>
    </r>
    <r>
      <rPr>
        <sz val="10"/>
        <rFont val="Noto Sans CJK SC"/>
        <family val="2"/>
      </rPr>
      <t xml:space="preserve">电池（</t>
    </r>
    <r>
      <rPr>
        <sz val="10"/>
        <rFont val="Arial"/>
        <family val="0"/>
        <charset val="1"/>
      </rPr>
      <t xml:space="preserve">3.8V 400mAh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4.2g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49.7×81.3×0.6mm</t>
    </r>
  </si>
  <si>
    <r>
      <rPr>
        <sz val="10"/>
        <rFont val="Arial"/>
        <family val="0"/>
        <charset val="1"/>
      </rPr>
      <t xml:space="preserve">[C] </t>
    </r>
    <r>
      <rPr>
        <sz val="10"/>
        <rFont val="Noto Sans CJK SC"/>
        <family val="2"/>
      </rPr>
      <t xml:space="preserve">命名为“</t>
    </r>
    <r>
      <rPr>
        <sz val="10"/>
        <rFont val="Arial"/>
        <family val="0"/>
        <charset val="1"/>
      </rPr>
      <t xml:space="preserve">CardRec PCBA”</t>
    </r>
    <r>
      <rPr>
        <sz val="10"/>
        <rFont val="Noto Sans CJK SC"/>
        <family val="2"/>
      </rPr>
      <t xml:space="preserve">，显示为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的板卡；但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5GHz Wi-Fi6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）不同，需工程确认。电池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麦是否随附按出货清单。</t>
    </r>
  </si>
  <si>
    <r>
      <rPr>
        <sz val="10"/>
        <rFont val="Noto Sans CJK SC"/>
        <family val="2"/>
      </rPr>
      <t xml:space="preserve">待确认（需带尺寸板框、天线禁布区；</t>
    </r>
    <r>
      <rPr>
        <sz val="10"/>
        <rFont val="Arial"/>
        <family val="0"/>
        <charset val="1"/>
      </rPr>
      <t xml:space="preserve">STEP/DXF </t>
    </r>
    <r>
      <rPr>
        <sz val="10"/>
        <rFont val="Noto Sans CJK SC"/>
        <family val="2"/>
      </rPr>
      <t xml:space="preserve">公开版或</t>
    </r>
    <r>
      <rPr>
        <sz val="10"/>
        <rFont val="Arial"/>
        <family val="0"/>
        <charset val="1"/>
      </rPr>
      <t xml:space="preserve">NDA</t>
    </r>
    <r>
      <rPr>
        <sz val="10"/>
        <rFont val="Noto Sans CJK SC"/>
        <family val="2"/>
      </rPr>
      <t xml:space="preserve">后）</t>
    </r>
  </si>
  <si>
    <t xml:space="preserve">无页面</t>
  </si>
  <si>
    <r>
      <rPr>
        <sz val="10"/>
        <rFont val="Noto Sans CJK SC"/>
        <family val="2"/>
      </rPr>
      <t xml:space="preserve">吴琼（来源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修改权）；吴胜宇（与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关系、接口）；黄俊鹏（裸板正反面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板框）</t>
    </r>
  </si>
  <si>
    <t xml:space="preserve">P0-03</t>
  </si>
  <si>
    <r>
      <rPr>
        <sz val="10"/>
        <rFont val="Noto Sans CJK SC"/>
        <family val="2"/>
      </rPr>
      <t xml:space="preserve">开放夹式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徽章录音</t>
    </r>
  </si>
  <si>
    <t xml:space="preserve">HA-MIC06B</t>
  </si>
  <si>
    <r>
      <rPr>
        <sz val="10"/>
        <rFont val="Arial"/>
        <family val="0"/>
        <charset val="1"/>
      </rPr>
      <t xml:space="preserve">VoiceRec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</si>
  <si>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整机；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评估套件是否对应 </t>
    </r>
    <r>
      <rPr>
        <sz val="10"/>
        <rFont val="Arial"/>
        <family val="0"/>
        <charset val="1"/>
      </rPr>
      <t xml:space="preserve">BES2710_MD/DEV </t>
    </r>
    <r>
      <rPr>
        <sz val="10"/>
        <rFont val="Noto Sans CJK SC"/>
        <family val="2"/>
      </rPr>
      <t xml:space="preserve">待确认</t>
    </r>
  </si>
  <si>
    <r>
      <rPr>
        <sz val="10"/>
        <rFont val="Arial"/>
        <family val="0"/>
        <charset val="1"/>
      </rPr>
      <t xml:space="preserve">GMIC</t>
    </r>
    <r>
      <rPr>
        <sz val="10"/>
        <rFont val="Noto Sans CJK SC"/>
        <family val="2"/>
      </rPr>
      <t xml:space="preserve">自有固件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集成路线；硬件与第三方</t>
    </r>
    <r>
      <rPr>
        <sz val="10"/>
        <rFont val="Arial"/>
        <family val="0"/>
        <charset val="1"/>
      </rPr>
      <t xml:space="preserve">IP</t>
    </r>
    <r>
      <rPr>
        <sz val="10"/>
        <rFont val="Noto Sans CJK SC"/>
        <family val="2"/>
      </rPr>
      <t xml:space="preserve">逐项列</t>
    </r>
  </si>
  <si>
    <t xml:space="preserve">[T] P0·03</t>
  </si>
  <si>
    <r>
      <rPr>
        <sz val="10"/>
        <rFont val="Noto Sans CJK SC"/>
        <family val="2"/>
      </rPr>
      <t xml:space="preserve">工程样品（现有样品为</t>
    </r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打印壳，</t>
    </r>
    <r>
      <rPr>
        <sz val="10"/>
        <rFont val="Arial"/>
        <family val="0"/>
        <charset val="1"/>
      </rPr>
      <t xml:space="preserve">[T]</t>
    </r>
    <r>
      <rPr>
        <sz val="10"/>
        <rFont val="Noto Sans CJK SC"/>
        <family val="2"/>
      </rPr>
      <t xml:space="preserve">）；不得写成量产成品</t>
    </r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</si>
  <si>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Wi-Fi6 802.11b/g/n/an/ac/ax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SPI NAND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喇叭；库仑计；振动；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1.5h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74.3×32×27mm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</si>
  <si>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定位：值班离线录音、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同步；设备直传客户</t>
    </r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为独立配置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定制项。需精确固件和</t>
    </r>
    <r>
      <rPr>
        <sz val="10"/>
        <rFont val="Arial"/>
        <family val="0"/>
        <charset val="1"/>
      </rPr>
      <t xml:space="preserve">SDK</t>
    </r>
    <r>
      <rPr>
        <sz val="10"/>
        <rFont val="Noto Sans CJK SC"/>
        <family val="2"/>
      </rPr>
      <t xml:space="preserve">支持表。</t>
    </r>
  </si>
  <si>
    <r>
      <rPr>
        <sz val="10"/>
        <rFont val="Arial"/>
        <family val="0"/>
        <charset val="1"/>
      </rPr>
      <t xml:space="preserve">products/mic06b </t>
    </r>
    <r>
      <rPr>
        <sz val="10"/>
        <rFont val="Noto Sans CJK SC"/>
        <family val="2"/>
      </rPr>
      <t xml:space="preserve">为旧模板未核对；</t>
    </r>
    <r>
      <rPr>
        <sz val="10"/>
        <rFont val="Arial"/>
        <family val="0"/>
        <charset val="1"/>
      </rPr>
      <t xml:space="preserve">products/mic06 </t>
    </r>
    <r>
      <rPr>
        <sz val="10"/>
        <rFont val="Noto Sans CJK SC"/>
        <family val="2"/>
      </rPr>
      <t xml:space="preserve">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规格（双频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）却由总览页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卡片链接 → 两页需厘清</t>
    </r>
  </si>
  <si>
    <r>
      <rPr>
        <sz val="10"/>
        <rFont val="Noto Sans CJK SC"/>
        <family val="2"/>
      </rPr>
      <t xml:space="preserve">吴胜宇（固件版本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支持表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续航工况）；黄俊鹏（实拍）；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（演示）</t>
    </r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</si>
  <si>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对照</t>
    </r>
  </si>
  <si>
    <r>
      <rPr>
        <sz val="10"/>
        <rFont val="Noto Sans CJK SC"/>
        <family val="2"/>
      </rPr>
      <t xml:space="preserve">（并入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页，配置对照）</t>
    </r>
  </si>
  <si>
    <t xml:space="preserve">HA-MIC04</t>
  </si>
  <si>
    <r>
      <rPr>
        <sz val="10"/>
        <rFont val="Arial"/>
        <family val="0"/>
        <charset val="1"/>
      </rPr>
      <t xml:space="preserve">VoiceRec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</si>
  <si>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现售整机（报价单在列），出货版本待核</t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</si>
  <si>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；蜂鸣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振动；</t>
    </r>
    <r>
      <rPr>
        <sz val="10"/>
        <rFont val="Arial"/>
        <family val="0"/>
        <charset val="1"/>
      </rPr>
      <t xml:space="preserve">Type-C 0.5h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10h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65×22.6×22mm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</si>
  <si>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官网目录标有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，但客户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工程对不同版本说明冲突；按准确出货版本重核。</t>
    </r>
  </si>
  <si>
    <r>
      <rPr>
        <sz val="10"/>
        <rFont val="Arial"/>
        <family val="0"/>
        <charset val="1"/>
      </rPr>
      <t xml:space="preserve">products/mic04 </t>
    </r>
    <r>
      <rPr>
        <sz val="10"/>
        <rFont val="Noto Sans CJK SC"/>
        <family val="2"/>
      </rPr>
      <t xml:space="preserve">旧模板，</t>
    </r>
    <r>
      <rPr>
        <sz val="10"/>
        <rFont val="Arial"/>
        <family val="0"/>
        <charset val="1"/>
      </rPr>
      <t xml:space="preserve">Wi-Fi </t>
    </r>
    <r>
      <rPr>
        <sz val="10"/>
        <rFont val="Noto Sans CJK SC"/>
        <family val="2"/>
      </rPr>
      <t xml:space="preserve">表述待按版本修正</t>
    </r>
  </si>
  <si>
    <r>
      <rPr>
        <sz val="10"/>
        <rFont val="Noto Sans CJK SC"/>
        <family val="2"/>
      </rPr>
      <t xml:space="preserve">吴胜宇（各版本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）</t>
    </r>
  </si>
  <si>
    <t xml:space="preserve">HA-MIC05C</t>
  </si>
  <si>
    <r>
      <rPr>
        <sz val="10"/>
        <rFont val="Arial"/>
        <family val="0"/>
        <charset val="1"/>
      </rPr>
      <t xml:space="preserve">VoiceRec Pro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</si>
  <si>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 802.11b/g/n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TDK T5838</t>
    </r>
    <r>
      <rPr>
        <sz val="10"/>
        <rFont val="Noto Sans CJK SC"/>
        <family val="2"/>
      </rPr>
      <t xml:space="preserve">全向麦；独立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通道传存储录音；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喇叭；振动；固件加密；</t>
    </r>
    <r>
      <rPr>
        <sz val="10"/>
        <rFont val="Arial"/>
        <family val="0"/>
        <charset val="1"/>
      </rPr>
      <t xml:space="preserve">950mAh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72×32×25mm</t>
    </r>
  </si>
  <si>
    <r>
      <rPr>
        <sz val="10"/>
        <rFont val="Noto Sans CJK SC"/>
        <family val="2"/>
      </rPr>
      <t xml:space="preserve">“独立</t>
    </r>
    <r>
      <rPr>
        <sz val="10"/>
        <rFont val="Arial"/>
        <family val="0"/>
        <charset val="1"/>
      </rPr>
      <t xml:space="preserve">2.4GHz</t>
    </r>
    <r>
      <rPr>
        <sz val="10"/>
        <rFont val="Noto Sans CJK SC"/>
        <family val="2"/>
      </rPr>
      <t xml:space="preserve">通道”具体是什么传输方式待工程解释。</t>
    </r>
  </si>
  <si>
    <r>
      <rPr>
        <sz val="10"/>
        <rFont val="Noto Sans CJK SC"/>
        <family val="2"/>
      </rPr>
      <t xml:space="preserve">官网为“</t>
    </r>
    <r>
      <rPr>
        <sz val="10"/>
        <rFont val="Arial"/>
        <family val="0"/>
        <charset val="1"/>
      </rPr>
      <t xml:space="preserve">MIC05”</t>
    </r>
    <r>
      <rPr>
        <sz val="10"/>
        <rFont val="Noto Sans CJK SC"/>
        <family val="2"/>
      </rPr>
      <t xml:space="preserve">，与报价单“</t>
    </r>
    <r>
      <rPr>
        <sz val="10"/>
        <rFont val="Arial"/>
        <family val="0"/>
        <charset val="1"/>
      </rPr>
      <t xml:space="preserve">MIC05C”</t>
    </r>
    <r>
      <rPr>
        <sz val="10"/>
        <rFont val="Noto Sans CJK SC"/>
        <family val="2"/>
      </rPr>
      <t xml:space="preserve">是否同一款待确认</t>
    </r>
  </si>
  <si>
    <t xml:space="preserve">吴胜宇</t>
  </si>
  <si>
    <r>
      <rPr>
        <sz val="10"/>
        <rFont val="Arial"/>
        <family val="0"/>
        <charset val="1"/>
      </rPr>
      <t xml:space="preserve">P0-03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</si>
  <si>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页的</t>
    </r>
    <r>
      <rPr>
        <sz val="10"/>
        <rFont val="Arial"/>
        <family val="0"/>
        <charset val="1"/>
      </rPr>
      <t xml:space="preserve">PCBA/</t>
    </r>
    <r>
      <rPr>
        <sz val="10"/>
        <rFont val="Noto Sans CJK SC"/>
        <family val="2"/>
      </rPr>
      <t xml:space="preserve">评估入口？）</t>
    </r>
  </si>
  <si>
    <t xml:space="preserve">BES2710_MD</t>
  </si>
  <si>
    <r>
      <rPr>
        <sz val="10"/>
        <rFont val="Arial"/>
        <family val="0"/>
        <charset val="1"/>
      </rPr>
      <t xml:space="preserve">VoiceCore Module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，型号写作 </t>
    </r>
    <r>
      <rPr>
        <sz val="10"/>
        <rFont val="Arial"/>
        <family val="0"/>
        <charset val="1"/>
      </rPr>
      <t xml:space="preserve">HA-BES2710 MD</t>
    </r>
    <r>
      <rPr>
        <sz val="10"/>
        <rFont val="Noto Sans CJK SC"/>
        <family val="2"/>
      </rPr>
      <t xml:space="preserve">）</t>
    </r>
  </si>
  <si>
    <t xml:space="preserve">模组（单面半孔）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</si>
  <si>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颗高信噪比全向硅麦；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；库仑计；固件加密芯片；陀螺仪；可扩展</t>
    </r>
    <r>
      <rPr>
        <sz val="10"/>
        <rFont val="Arial"/>
        <family val="0"/>
        <charset val="1"/>
      </rPr>
      <t xml:space="preserve">GPIO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5V/1A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30×25×1.8mm</t>
    </r>
  </si>
  <si>
    <r>
      <rPr>
        <sz val="10"/>
        <rFont val="Noto Sans CJK SC"/>
        <family val="2"/>
      </rPr>
      <t xml:space="preserve">规格与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高度相似，是否同平台需工程确认后才能写进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页。</t>
    </r>
  </si>
  <si>
    <t xml:space="preserve">吴胜宇；吴琼</t>
  </si>
  <si>
    <t xml:space="preserve">BES2710_DEV</t>
  </si>
  <si>
    <r>
      <rPr>
        <sz val="10"/>
        <rFont val="Arial"/>
        <family val="0"/>
        <charset val="1"/>
      </rPr>
      <t xml:space="preserve">AI Recorder DEV KIT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</si>
  <si>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t xml:space="preserve">上电评估套件</t>
  </si>
  <si>
    <r>
      <rPr>
        <sz val="10"/>
        <rFont val="Noto Sans CJK SC"/>
        <family val="2"/>
      </rPr>
      <t xml:space="preserve">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颗全向硅麦；</t>
    </r>
    <r>
      <rPr>
        <sz val="10"/>
        <rFont val="Arial"/>
        <family val="0"/>
        <charset val="1"/>
      </rPr>
      <t xml:space="preserve">512MB SD NAND</t>
    </r>
    <r>
      <rPr>
        <sz val="10"/>
        <rFont val="Noto Sans CJK SC"/>
        <family val="2"/>
      </rPr>
      <t xml:space="preserve">；库仑计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显示；固件加密；陀螺仪；滑动触控、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2000mAh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喇叭、振动；</t>
    </r>
    <r>
      <rPr>
        <sz val="10"/>
        <rFont val="Arial"/>
        <family val="0"/>
        <charset val="1"/>
      </rPr>
      <t xml:space="preserve">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80×60mm</t>
    </r>
  </si>
  <si>
    <r>
      <rPr>
        <b val="true"/>
        <sz val="11"/>
        <color rgb="FF1F2A44"/>
        <rFont val="Noto Sans CJK SC"/>
        <family val="2"/>
      </rPr>
      <t xml:space="preserve">第二批 </t>
    </r>
    <r>
      <rPr>
        <b val="true"/>
        <sz val="11"/>
        <color rgb="FF1F2A44"/>
        <rFont val="Arial"/>
        <family val="0"/>
        <charset val="1"/>
      </rPr>
      <t xml:space="preserve">· P1</t>
    </r>
  </si>
  <si>
    <t xml:space="preserve">P1-04</t>
  </si>
  <si>
    <r>
      <rPr>
        <sz val="10"/>
        <rFont val="Noto Sans CJK SC"/>
        <family val="2"/>
      </rPr>
      <t xml:space="preserve">高音质多麦录音</t>
    </r>
    <r>
      <rPr>
        <sz val="10"/>
        <rFont val="Arial"/>
        <family val="0"/>
        <charset val="1"/>
      </rPr>
      <t xml:space="preserve">PCBA</t>
    </r>
  </si>
  <si>
    <r>
      <rPr>
        <sz val="10"/>
        <rFont val="Arial"/>
        <family val="0"/>
        <charset val="1"/>
      </rPr>
      <t xml:space="preserve">HA-CS03 / ATW6095</t>
    </r>
    <r>
      <rPr>
        <sz val="10"/>
        <rFont val="Noto Sans CJK SC"/>
        <family val="2"/>
      </rPr>
      <t xml:space="preserve">候选</t>
    </r>
  </si>
  <si>
    <r>
      <rPr>
        <sz val="10"/>
        <rFont val="Arial"/>
        <family val="0"/>
        <charset val="1"/>
      </rPr>
      <t xml:space="preserve">VoiceCard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</si>
  <si>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（客户原创外壳）；整机</t>
    </r>
  </si>
  <si>
    <r>
      <rPr>
        <sz val="10"/>
        <rFont val="Noto Sans CJK SC"/>
        <family val="2"/>
      </rPr>
      <t xml:space="preserve">外购（工程</t>
    </r>
    <r>
      <rPr>
        <sz val="10"/>
        <rFont val="Arial"/>
        <family val="0"/>
        <charset val="1"/>
      </rPr>
      <t xml:space="preserve">10/12</t>
    </r>
    <r>
      <rPr>
        <sz val="10"/>
        <rFont val="Noto Sans CJK SC"/>
        <family val="2"/>
      </rPr>
      <t xml:space="preserve">明确）</t>
    </r>
  </si>
  <si>
    <r>
      <rPr>
        <sz val="10"/>
        <rFont val="Arial"/>
        <family val="0"/>
        <charset val="1"/>
      </rPr>
      <t xml:space="preserve">[T] CS03</t>
    </r>
    <r>
      <rPr>
        <sz val="10"/>
        <rFont val="Noto Sans CJK SC"/>
        <family val="2"/>
      </rPr>
      <t xml:space="preserve">外购事件 </t>
    </r>
    <r>
      <rPr>
        <sz val="10"/>
        <rFont val="Arial"/>
        <family val="0"/>
        <charset val="1"/>
      </rPr>
      <t xml:space="preserve">cdf9d626…</t>
    </r>
    <r>
      <rPr>
        <sz val="10"/>
        <rFont val="Noto Sans CJK SC"/>
        <family val="2"/>
      </rPr>
      <t xml:space="preserve">；须正规供应商</t>
    </r>
    <r>
      <rPr>
        <sz val="10"/>
        <rFont val="Arial"/>
        <family val="0"/>
        <charset val="1"/>
      </rPr>
      <t xml:space="preserve">SDK/</t>
    </r>
    <r>
      <rPr>
        <sz val="10"/>
        <rFont val="Noto Sans CJK SC"/>
        <family val="2"/>
      </rPr>
      <t xml:space="preserve">授权与支持</t>
    </r>
  </si>
  <si>
    <t xml:space="preserve">待确认（未取得授权工具链与原生格式样本前不进入“可评估”）</t>
  </si>
  <si>
    <r>
      <rPr>
        <sz val="10"/>
        <rFont val="Arial"/>
        <family val="0"/>
        <charset val="1"/>
      </rPr>
      <t xml:space="preserve">Wi-Fi6 2.4G 802.11b/g/n/ax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32/64GB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骨传导麦；</t>
    </r>
    <r>
      <rPr>
        <sz val="10"/>
        <rFont val="Arial"/>
        <family val="0"/>
        <charset val="1"/>
      </rPr>
      <t xml:space="preserve">0.96" 80×160</t>
    </r>
    <r>
      <rPr>
        <sz val="10"/>
        <rFont val="Noto Sans CJK SC"/>
        <family val="2"/>
      </rPr>
      <t xml:space="preserve">单色屏；振动；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皮套；</t>
    </r>
    <r>
      <rPr>
        <sz val="10"/>
        <rFont val="Arial"/>
        <family val="0"/>
        <charset val="1"/>
      </rPr>
      <t xml:space="preserve">660mAh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55h</t>
    </r>
    <r>
      <rPr>
        <sz val="10"/>
        <rFont val="Noto Sans CJK SC"/>
        <family val="2"/>
      </rPr>
      <t xml:space="preserve">；铝合金；</t>
    </r>
    <r>
      <rPr>
        <sz val="10"/>
        <rFont val="Arial"/>
        <family val="0"/>
        <charset val="1"/>
      </rPr>
      <t xml:space="preserve">36.6g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91×57×3.7mm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写“</t>
    </r>
    <r>
      <rPr>
        <sz val="10"/>
        <rFont val="Arial"/>
        <family val="0"/>
        <charset val="1"/>
      </rPr>
      <t xml:space="preserve">Ultra-slim 3.7 mm”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一致；整机尺寸，非</t>
    </r>
    <r>
      <rPr>
        <sz val="10"/>
        <rFont val="Arial"/>
        <family val="0"/>
        <charset val="1"/>
      </rPr>
      <t xml:space="preserve">PCBA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写“</t>
    </r>
    <r>
      <rPr>
        <sz val="10"/>
        <rFont val="Arial"/>
        <family val="0"/>
        <charset val="1"/>
      </rPr>
      <t xml:space="preserve">five microphones”=4</t>
    </r>
    <r>
      <rPr>
        <sz val="10"/>
        <rFont val="Noto Sans CJK SC"/>
        <family val="2"/>
      </rPr>
      <t xml:space="preserve">全向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骨传导</t>
    </r>
  </si>
  <si>
    <r>
      <rPr>
        <sz val="10"/>
        <rFont val="Arial"/>
        <family val="0"/>
        <charset val="1"/>
      </rPr>
      <t xml:space="preserve">48kHz</t>
    </r>
    <r>
      <rPr>
        <sz val="10"/>
        <rFont val="Noto Sans CJK SC"/>
        <family val="2"/>
      </rPr>
      <t xml:space="preserve">无损：芯片推荐≠现售固件已实现 → 待验证。不能写全套自研。续传测试不能与</t>
    </r>
    <r>
      <rPr>
        <sz val="10"/>
        <rFont val="Arial"/>
        <family val="0"/>
        <charset val="1"/>
      </rPr>
      <t xml:space="preserve">CS01</t>
    </r>
    <r>
      <rPr>
        <sz val="10"/>
        <rFont val="Noto Sans CJK SC"/>
        <family val="2"/>
      </rPr>
      <t xml:space="preserve">互相替代。</t>
    </r>
  </si>
  <si>
    <r>
      <rPr>
        <sz val="10"/>
        <rFont val="Noto Sans CJK SC"/>
        <family val="2"/>
      </rPr>
      <t xml:space="preserve">吴琼（供应商授权</t>
    </r>
    <r>
      <rPr>
        <sz val="10"/>
        <rFont val="Arial"/>
        <family val="0"/>
        <charset val="1"/>
      </rPr>
      <t xml:space="preserve">/SDK/</t>
    </r>
    <r>
      <rPr>
        <sz val="10"/>
        <rFont val="Noto Sans CJK SC"/>
        <family val="2"/>
      </rPr>
      <t xml:space="preserve">样品）；吴胜宇（原生格式、四麦布局、资源表）</t>
    </r>
  </si>
  <si>
    <t xml:space="preserve">10-26</t>
  </si>
  <si>
    <t xml:space="preserve">P1-05</t>
  </si>
  <si>
    <r>
      <rPr>
        <sz val="10"/>
        <rFont val="Noto Sans CJK SC"/>
        <family val="2"/>
      </rPr>
      <t xml:space="preserve">会议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固定采音方案（联合开发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评估页）</t>
    </r>
  </si>
  <si>
    <r>
      <rPr>
        <sz val="10"/>
        <rFont val="Noto Sans CJK SC"/>
        <family val="2"/>
      </rPr>
      <t xml:space="preserve">（无冻结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</si>
  <si>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多麦阵列前端 </t>
    </r>
    <r>
      <rPr>
        <sz val="10"/>
        <rFont val="Arial"/>
        <family val="0"/>
        <charset val="1"/>
      </rPr>
      <t xml:space="preserve">+ MIC05</t>
    </r>
    <r>
      <rPr>
        <sz val="10"/>
        <rFont val="Noto Sans CJK SC"/>
        <family val="2"/>
      </rPr>
      <t xml:space="preserve">类采集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上传基座</t>
    </r>
  </si>
  <si>
    <r>
      <rPr>
        <sz val="10"/>
        <rFont val="Noto Sans CJK SC"/>
        <family val="2"/>
      </rPr>
      <t xml:space="preserve">评估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联合开发（不标现货）</t>
    </r>
  </si>
  <si>
    <r>
      <rPr>
        <sz val="10"/>
        <rFont val="Noto Sans CJK SC"/>
        <family val="2"/>
      </rPr>
      <t xml:space="preserve">自有采集平台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采购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算法伙伴补阵列</t>
    </r>
  </si>
  <si>
    <t xml:space="preserve">[T] P1·05</t>
  </si>
  <si>
    <t xml:space="preserve">方案未冻结</t>
  </si>
  <si>
    <t xml:space="preserve">—（报价单无对应条目）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</si>
  <si>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麦≠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人分离；</t>
    </r>
    <r>
      <rPr>
        <sz val="10"/>
        <rFont val="Arial"/>
        <family val="0"/>
        <charset val="1"/>
      </rPr>
      <t xml:space="preserve">DOA</t>
    </r>
    <r>
      <rPr>
        <sz val="10"/>
        <rFont val="Noto Sans CJK SC"/>
        <family val="2"/>
      </rPr>
      <t xml:space="preserve">方向≠说话人身份；</t>
    </r>
    <r>
      <rPr>
        <sz val="10"/>
        <rFont val="Arial"/>
        <family val="0"/>
        <charset val="1"/>
      </rPr>
      <t xml:space="preserve">Ethernet/PoE</t>
    </r>
    <r>
      <rPr>
        <sz val="10"/>
        <rFont val="Noto Sans CJK SC"/>
        <family val="2"/>
      </rPr>
      <t xml:space="preserve">、原始同步通道、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人会议均需单独验证。</t>
    </r>
  </si>
  <si>
    <t xml:space="preserve">—</t>
  </si>
  <si>
    <r>
      <rPr>
        <sz val="10"/>
        <rFont val="Noto Sans CJK SC"/>
        <family val="2"/>
      </rPr>
      <t xml:space="preserve">吴胜宇（方案冻结与否）；吴琼（阵列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算法伙伴）</t>
    </r>
  </si>
  <si>
    <t xml:space="preserve">P1-06</t>
  </si>
  <si>
    <t xml:space="preserve">可编程语音交互开发套件</t>
  </si>
  <si>
    <t xml:space="preserve">HA-ESP32 KIT</t>
  </si>
  <si>
    <r>
      <rPr>
        <sz val="10"/>
        <rFont val="Arial"/>
        <family val="0"/>
        <charset val="1"/>
      </rPr>
      <t xml:space="preserve">ESP32-S3 VoiceAI Kit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</si>
  <si>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开发套件；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</si>
  <si>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现有开发套件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外购音频模组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自有固件集成；逐项核</t>
    </r>
  </si>
  <si>
    <t xml:space="preserve">[T] P1·06</t>
  </si>
  <si>
    <t xml:space="preserve">现售开发套件（报价单在列），版本待核</t>
  </si>
  <si>
    <r>
      <rPr>
        <sz val="10"/>
        <rFont val="Arial"/>
        <family val="0"/>
        <charset val="1"/>
      </rPr>
      <t xml:space="preserve">ESP32-S3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；唤醒词；可控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电机；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Type-C 2.5h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PCBA 30×43×10mm</t>
    </r>
  </si>
  <si>
    <r>
      <rPr>
        <sz val="10"/>
        <rFont val="Noto Sans CJK SC"/>
        <family val="2"/>
      </rPr>
      <t xml:space="preserve">定位：按键上行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音频下行到自有</t>
    </r>
    <r>
      <rPr>
        <sz val="10"/>
        <rFont val="Arial"/>
        <family val="0"/>
        <charset val="1"/>
      </rPr>
      <t xml:space="preserve">endpoint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AEC/</t>
    </r>
    <r>
      <rPr>
        <sz val="10"/>
        <rFont val="Noto Sans CJK SC"/>
        <family val="2"/>
      </rPr>
      <t xml:space="preserve">唤醒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全双工分开验证；蓝牙版不能替代</t>
    </r>
    <r>
      <rPr>
        <sz val="10"/>
        <rFont val="Arial"/>
        <family val="0"/>
        <charset val="1"/>
      </rPr>
      <t xml:space="preserve">Wi-Fi</t>
    </r>
    <r>
      <rPr>
        <sz val="10"/>
        <rFont val="Noto Sans CJK SC"/>
        <family val="2"/>
      </rPr>
      <t xml:space="preserve">直连。</t>
    </r>
  </si>
  <si>
    <r>
      <rPr>
        <sz val="10"/>
        <rFont val="Arial"/>
        <family val="0"/>
        <charset val="1"/>
      </rPr>
      <t xml:space="preserve">products/esp32-kit </t>
    </r>
    <r>
      <rPr>
        <sz val="10"/>
        <rFont val="Noto Sans CJK SC"/>
        <family val="2"/>
      </rPr>
      <t xml:space="preserve">已有页，提到 </t>
    </r>
    <r>
      <rPr>
        <sz val="10"/>
        <rFont val="Arial"/>
        <family val="0"/>
        <charset val="1"/>
      </rPr>
      <t xml:space="preserve">source code / OTA → </t>
    </r>
    <r>
      <rPr>
        <sz val="10"/>
        <rFont val="Noto Sans CJK SC"/>
        <family val="2"/>
      </rPr>
      <t xml:space="preserve">需核是否为已交付能力</t>
    </r>
  </si>
  <si>
    <r>
      <rPr>
        <sz val="10"/>
        <rFont val="Noto Sans CJK SC"/>
        <family val="2"/>
      </rPr>
      <t xml:space="preserve">吴胜宇（烧录</t>
    </r>
    <r>
      <rPr>
        <sz val="10"/>
        <rFont val="Arial"/>
        <family val="0"/>
        <charset val="1"/>
      </rPr>
      <t xml:space="preserve">/endpoint</t>
    </r>
    <r>
      <rPr>
        <sz val="10"/>
        <rFont val="Noto Sans CJK SC"/>
        <family val="2"/>
      </rPr>
      <t xml:space="preserve">配置</t>
    </r>
    <r>
      <rPr>
        <sz val="10"/>
        <rFont val="Arial"/>
        <family val="0"/>
        <charset val="1"/>
      </rPr>
      <t xml:space="preserve">/SDK</t>
    </r>
    <r>
      <rPr>
        <sz val="10"/>
        <rFont val="Noto Sans CJK SC"/>
        <family val="2"/>
      </rPr>
      <t xml:space="preserve">许可）；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（上下行演示）</t>
    </r>
  </si>
  <si>
    <r>
      <rPr>
        <sz val="10"/>
        <rFont val="Arial"/>
        <family val="0"/>
        <charset val="1"/>
      </rPr>
      <t xml:space="preserve">P1-06 </t>
    </r>
    <r>
      <rPr>
        <sz val="10"/>
        <rFont val="Noto Sans CJK SC"/>
        <family val="2"/>
      </rPr>
      <t xml:space="preserve">候选</t>
    </r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</si>
  <si>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ESP32</t>
    </r>
    <r>
      <rPr>
        <sz val="10"/>
        <rFont val="Noto Sans CJK SC"/>
        <family val="2"/>
      </rPr>
      <t xml:space="preserve">页的整机候选）</t>
    </r>
  </si>
  <si>
    <t xml:space="preserve">HA-SPK03 Wi-Fi</t>
  </si>
  <si>
    <r>
      <rPr>
        <sz val="10"/>
        <rFont val="Arial"/>
        <family val="0"/>
        <charset val="1"/>
      </rPr>
      <t xml:space="preserve">SpeakAI Go Wi-Fi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</si>
  <si>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现售整机（报价单在列）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</si>
  <si>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</si>
  <si>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r>
      <rPr>
        <sz val="10"/>
        <rFont val="Arial"/>
        <family val="0"/>
        <charset val="1"/>
      </rPr>
      <t xml:space="preserve">products/spk03-wifi </t>
    </r>
    <r>
      <rPr>
        <sz val="10"/>
        <rFont val="Noto Sans CJK SC"/>
        <family val="2"/>
      </rPr>
      <t xml:space="preserve">旧模板</t>
    </r>
  </si>
  <si>
    <r>
      <rPr>
        <b val="true"/>
        <sz val="11"/>
        <color rgb="FF1F2A44"/>
        <rFont val="Noto Sans CJK SC"/>
        <family val="2"/>
      </rPr>
      <t xml:space="preserve">形态展示 </t>
    </r>
    <r>
      <rPr>
        <b val="true"/>
        <sz val="11"/>
        <color rgb="FF1F2A44"/>
        <rFont val="Arial"/>
        <family val="0"/>
        <charset val="1"/>
      </rPr>
      <t xml:space="preserve">· P2</t>
    </r>
  </si>
  <si>
    <t xml:space="preserve">P2-07</t>
  </si>
  <si>
    <t xml:space="preserve">差异化外形展示</t>
  </si>
  <si>
    <t xml:space="preserve">HA-VEST01</t>
  </si>
  <si>
    <t xml:space="preserve">马甲（录音形态）</t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</si>
  <si>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开发中</t>
    </r>
  </si>
  <si>
    <r>
      <rPr>
        <sz val="10"/>
        <rFont val="Noto Sans CJK SC"/>
        <family val="2"/>
      </rPr>
      <t xml:space="preserve">自研设计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联合开发</t>
    </r>
  </si>
  <si>
    <r>
      <rPr>
        <sz val="10"/>
        <rFont val="Arial"/>
        <family val="0"/>
        <charset val="1"/>
      </rPr>
      <t xml:space="preserve">[T] P2·07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10/16</t>
    </r>
    <r>
      <rPr>
        <sz val="10"/>
        <rFont val="Noto Sans CJK SC"/>
        <family val="2"/>
      </rPr>
      <t xml:space="preserve">首稿</t>
    </r>
  </si>
  <si>
    <r>
      <rPr>
        <sz val="10"/>
        <rFont val="Noto Sans CJK SC"/>
        <family val="2"/>
      </rPr>
      <t xml:space="preserve">概念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工程样机（按实际阶段标识）</t>
    </r>
  </si>
  <si>
    <t xml:space="preserve">不适用</t>
  </si>
  <si>
    <t xml:space="preserve">先完成现有首版修订；正式实物与渲染区分。</t>
  </si>
  <si>
    <r>
      <rPr>
        <sz val="10"/>
        <rFont val="Noto Sans CJK SC"/>
        <family val="2"/>
      </rPr>
      <t xml:space="preserve">首稿已交，待修订包（</t>
    </r>
    <r>
      <rPr>
        <sz val="10"/>
        <rFont val="Arial"/>
        <family val="0"/>
        <charset val="1"/>
      </rPr>
      <t xml:space="preserve">10-22</t>
    </r>
    <r>
      <rPr>
        <sz val="10"/>
        <rFont val="Noto Sans CJK SC"/>
        <family val="2"/>
      </rPr>
      <t xml:space="preserve">）</t>
    </r>
  </si>
  <si>
    <t xml:space="preserve">研发（待答清单）</t>
  </si>
  <si>
    <t xml:space="preserve">10-22</t>
  </si>
  <si>
    <t xml:space="preserve">电子纸录音工牌</t>
  </si>
  <si>
    <r>
      <rPr>
        <sz val="10"/>
        <rFont val="Noto Sans CJK SC"/>
        <family val="2"/>
      </rPr>
      <t xml:space="preserve">工牌（沿用 </t>
    </r>
    <r>
      <rPr>
        <sz val="10"/>
        <rFont val="Arial"/>
        <family val="0"/>
        <charset val="1"/>
      </rPr>
      <t xml:space="preserve">P1×D4</t>
    </r>
    <r>
      <rPr>
        <sz val="10"/>
        <rFont val="Noto Sans CJK SC"/>
        <family val="2"/>
      </rPr>
      <t xml:space="preserve">）</t>
    </r>
  </si>
  <si>
    <t xml:space="preserve">[T] P2·07</t>
  </si>
  <si>
    <t xml:space="preserve">不新增外观发散。</t>
  </si>
  <si>
    <t xml:space="preserve">研发</t>
  </si>
  <si>
    <t xml:space="preserve">10-30</t>
  </si>
  <si>
    <r>
      <rPr>
        <b val="true"/>
        <sz val="11"/>
        <color rgb="FF1F2A44"/>
        <rFont val="Noto Sans CJK SC"/>
        <family val="2"/>
      </rPr>
      <t xml:space="preserve">其他</t>
    </r>
    <r>
      <rPr>
        <b val="true"/>
        <sz val="11"/>
        <color rgb="FF1F2A44"/>
        <rFont val="Arial"/>
        <family val="0"/>
        <charset val="1"/>
      </rPr>
      <t xml:space="preserve">SKU · </t>
    </r>
    <r>
      <rPr>
        <b val="true"/>
        <sz val="11"/>
        <color rgb="FF1F2A44"/>
        <rFont val="Noto Sans CJK SC"/>
        <family val="2"/>
      </rPr>
      <t xml:space="preserve">本轮顺延（仅登记</t>
    </r>
    <r>
      <rPr>
        <b val="true"/>
        <sz val="11"/>
        <color rgb="FF1F2A44"/>
        <rFont val="Arial"/>
        <family val="0"/>
        <charset val="1"/>
      </rPr>
      <t xml:space="preserve">[Q]</t>
    </r>
    <r>
      <rPr>
        <b val="true"/>
        <sz val="11"/>
        <color rgb="FF1F2A44"/>
        <rFont val="Noto Sans CJK SC"/>
        <family val="2"/>
      </rPr>
      <t xml:space="preserve">参数与</t>
    </r>
    <r>
      <rPr>
        <b val="true"/>
        <sz val="11"/>
        <color rgb="FF1F2A44"/>
        <rFont val="Arial"/>
        <family val="0"/>
        <charset val="1"/>
      </rPr>
      <t xml:space="preserve">[W]</t>
    </r>
    <r>
      <rPr>
        <b val="true"/>
        <sz val="11"/>
        <color rgb="FF1F2A44"/>
        <rFont val="Noto Sans CJK SC"/>
        <family val="2"/>
      </rPr>
      <t xml:space="preserve">现状，其余本轮不评估）</t>
    </r>
  </si>
  <si>
    <t xml:space="preserve">顺延</t>
  </si>
  <si>
    <t xml:space="preserve">HA-MIC01</t>
  </si>
  <si>
    <r>
      <rPr>
        <sz val="10"/>
        <rFont val="Arial"/>
        <family val="0"/>
        <charset val="1"/>
      </rPr>
      <t xml:space="preserve">ChatMic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</si>
  <si>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t xml:space="preserve">报价单在列，出货版本待核</t>
  </si>
  <si>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128MB SD NAND</t>
    </r>
    <r>
      <rPr>
        <sz val="10"/>
        <rFont val="Noto Sans CJK SC"/>
        <family val="2"/>
      </rPr>
      <t xml:space="preserve">；默认单麦，可选双麦；蜂鸣；</t>
    </r>
    <r>
      <rPr>
        <sz val="10"/>
        <rFont val="Arial"/>
        <family val="0"/>
        <charset val="1"/>
      </rPr>
      <t xml:space="preserve">0.5h</t>
    </r>
    <r>
      <rPr>
        <sz val="10"/>
        <rFont val="Noto Sans CJK SC"/>
        <family val="2"/>
      </rPr>
      <t xml:space="preserve">充电</t>
    </r>
    <r>
      <rPr>
        <sz val="10"/>
        <rFont val="Arial"/>
        <family val="0"/>
        <charset val="1"/>
      </rPr>
      <t xml:space="preserve">/8h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8.8g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45×19×19.5mm</t>
    </r>
  </si>
  <si>
    <r>
      <rPr>
        <sz val="10"/>
        <rFont val="Arial"/>
        <family val="0"/>
        <charset val="1"/>
      </rPr>
      <t xml:space="preserve">products/mic01</t>
    </r>
    <r>
      <rPr>
        <sz val="10"/>
        <rFont val="Noto Sans CJK SC"/>
        <family val="2"/>
      </rPr>
      <t xml:space="preserve">（标题为“</t>
    </r>
    <r>
      <rPr>
        <sz val="10"/>
        <rFont val="Arial"/>
        <family val="0"/>
        <charset val="1"/>
      </rPr>
      <t xml:space="preserve">Magnetic Speaker”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[Q]“</t>
    </r>
    <r>
      <rPr>
        <sz val="10"/>
        <rFont val="Noto Sans CJK SC"/>
        <family val="2"/>
      </rPr>
      <t xml:space="preserve">无喇叭”需核）</t>
    </r>
  </si>
  <si>
    <r>
      <rPr>
        <sz val="10"/>
        <rFont val="Noto Sans CJK SC"/>
        <family val="2"/>
      </rPr>
      <t xml:space="preserve">有询盘在要（</t>
    </r>
    <r>
      <rPr>
        <sz val="10"/>
        <rFont val="Arial"/>
        <family val="0"/>
        <charset val="1"/>
      </rPr>
      <t xml:space="preserve">FreeAI</t>
    </r>
    <r>
      <rPr>
        <sz val="10"/>
        <rFont val="Noto Sans CJK SC"/>
        <family val="2"/>
      </rPr>
      <t xml:space="preserve">实时接入、</t>
    </r>
    <r>
      <rPr>
        <sz val="10"/>
        <rFont val="Arial"/>
        <family val="0"/>
        <charset val="1"/>
      </rPr>
      <t xml:space="preserve">OttoUpdate MIC01C</t>
    </r>
    <r>
      <rPr>
        <sz val="10"/>
        <rFont val="Noto Sans CJK SC"/>
        <family val="2"/>
      </rPr>
      <t xml:space="preserve">评估）；</t>
    </r>
    <r>
      <rPr>
        <sz val="10"/>
        <rFont val="Arial"/>
        <family val="0"/>
        <charset val="1"/>
      </rPr>
      <t xml:space="preserve">MIC01C</t>
    </r>
    <r>
      <rPr>
        <sz val="10"/>
        <rFont val="Noto Sans CJK SC"/>
        <family val="2"/>
      </rPr>
      <t xml:space="preserve">是否另一版本待确认</t>
    </r>
  </si>
  <si>
    <t xml:space="preserve">HA-MIC02</t>
  </si>
  <si>
    <r>
      <rPr>
        <sz val="10"/>
        <rFont val="Arial"/>
        <family val="0"/>
        <charset val="1"/>
      </rPr>
      <t xml:space="preserve">MagSafe Microphone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</si>
  <si>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0.5h/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58×65×5.5mm</t>
    </r>
  </si>
  <si>
    <r>
      <rPr>
        <sz val="10"/>
        <rFont val="Arial"/>
        <family val="0"/>
        <charset val="1"/>
      </rPr>
      <t xml:space="preserve">products/mic02</t>
    </r>
    <r>
      <rPr>
        <sz val="10"/>
        <rFont val="Noto Sans CJK SC"/>
        <family val="2"/>
      </rPr>
      <t xml:space="preserve">；另有 </t>
    </r>
    <r>
      <rPr>
        <sz val="10"/>
        <rFont val="Arial"/>
        <family val="0"/>
        <charset val="1"/>
      </rPr>
      <t xml:space="preserve">products/magmic </t>
    </r>
    <r>
      <rPr>
        <sz val="10"/>
        <rFont val="Noto Sans CJK SC"/>
        <family val="2"/>
      </rPr>
      <t xml:space="preserve">同类重复页</t>
    </r>
  </si>
  <si>
    <r>
      <rPr>
        <sz val="10"/>
        <rFont val="Arial"/>
        <family val="0"/>
        <charset val="1"/>
      </rPr>
      <t xml:space="preserve">magmic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mic02 </t>
    </r>
    <r>
      <rPr>
        <sz val="10"/>
        <rFont val="Noto Sans CJK SC"/>
        <family val="2"/>
      </rPr>
      <t xml:space="preserve">是否重复需定</t>
    </r>
  </si>
  <si>
    <t xml:space="preserve">HA-MIC06A</t>
  </si>
  <si>
    <r>
      <rPr>
        <sz val="10"/>
        <rFont val="Arial"/>
        <family val="0"/>
        <charset val="1"/>
      </rPr>
      <t xml:space="preserve">VoiceRec Touch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</si>
  <si>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1W</t>
    </r>
    <r>
      <rPr>
        <sz val="10"/>
        <rFont val="Noto Sans CJK SC"/>
        <family val="2"/>
      </rPr>
      <t xml:space="preserve">喇叭；振动；</t>
    </r>
    <r>
      <rPr>
        <sz val="10"/>
        <rFont val="Arial"/>
        <family val="0"/>
        <charset val="1"/>
      </rPr>
      <t xml:space="preserve">NFC</t>
    </r>
    <r>
      <rPr>
        <sz val="10"/>
        <rFont val="Noto Sans CJK SC"/>
        <family val="2"/>
      </rPr>
      <t xml:space="preserve">；滑动触控；固件加密；陀螺仪；</t>
    </r>
    <r>
      <rPr>
        <sz val="10"/>
        <rFont val="Arial"/>
        <family val="0"/>
        <charset val="1"/>
      </rPr>
      <t xml:space="preserve">1000mAh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9h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56.5g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75×32×27mm</t>
    </r>
  </si>
  <si>
    <r>
      <rPr>
        <sz val="10"/>
        <rFont val="Noto Sans CJK SC"/>
        <family val="2"/>
      </rPr>
      <t xml:space="preserve">总览页</t>
    </r>
    <r>
      <rPr>
        <sz val="10"/>
        <rFont val="Arial"/>
        <family val="0"/>
        <charset val="1"/>
      </rPr>
      <t xml:space="preserve">MIC06A</t>
    </r>
    <r>
      <rPr>
        <sz val="10"/>
        <rFont val="Noto Sans CJK SC"/>
        <family val="2"/>
      </rPr>
      <t xml:space="preserve">卡片链到 </t>
    </r>
    <r>
      <rPr>
        <sz val="10"/>
        <rFont val="Arial"/>
        <family val="0"/>
        <charset val="1"/>
      </rPr>
      <t xml:space="preserve">products/mic06</t>
    </r>
    <r>
      <rPr>
        <sz val="10"/>
        <rFont val="Noto Sans CJK SC"/>
        <family val="2"/>
      </rPr>
      <t xml:space="preserve">，但该页写的是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规格</t>
    </r>
  </si>
  <si>
    <r>
      <rPr>
        <sz val="10"/>
        <rFont val="Noto Sans CJK SC"/>
        <family val="2"/>
      </rPr>
      <t xml:space="preserve">须与</t>
    </r>
    <r>
      <rPr>
        <sz val="10"/>
        <rFont val="Arial"/>
        <family val="0"/>
        <charset val="1"/>
      </rPr>
      <t xml:space="preserve">MIC06B</t>
    </r>
    <r>
      <rPr>
        <sz val="10"/>
        <rFont val="Noto Sans CJK SC"/>
        <family val="2"/>
      </rPr>
      <t xml:space="preserve">页厘清</t>
    </r>
  </si>
  <si>
    <t xml:space="preserve">SR01</t>
  </si>
  <si>
    <r>
      <rPr>
        <sz val="10"/>
        <rFont val="Arial"/>
        <family val="0"/>
        <charset val="1"/>
      </rPr>
      <t xml:space="preserve">Recording Ring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，型号写作 </t>
    </r>
    <r>
      <rPr>
        <sz val="10"/>
        <rFont val="Arial"/>
        <family val="0"/>
        <charset val="1"/>
      </rPr>
      <t xml:space="preserve">HA-SR01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</si>
  <si>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64Mb Flash</t>
    </r>
    <r>
      <rPr>
        <sz val="10"/>
        <rFont val="Noto Sans CJK SC"/>
        <family val="2"/>
      </rPr>
      <t xml:space="preserve">；心率</t>
    </r>
    <r>
      <rPr>
        <sz val="10"/>
        <rFont val="Arial"/>
        <family val="0"/>
        <charset val="1"/>
      </rPr>
      <t xml:space="preserve">+G-sensor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另写</t>
    </r>
    <r>
      <rPr>
        <sz val="10"/>
        <rFont val="Arial"/>
        <family val="0"/>
        <charset val="1"/>
      </rPr>
      <t xml:space="preserve">IP68</t>
    </r>
    <r>
      <rPr>
        <sz val="10"/>
        <rFont val="Noto Sans CJK SC"/>
        <family val="2"/>
      </rPr>
      <t xml:space="preserve">与睡眠监测（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无，冲突）；单麦；触控；磁吸充电（可选充电盒）；录音约</t>
    </r>
    <r>
      <rPr>
        <sz val="10"/>
        <rFont val="Arial"/>
        <family val="0"/>
        <charset val="1"/>
      </rPr>
      <t xml:space="preserve">3h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18/22mAh</t>
    </r>
    <r>
      <rPr>
        <sz val="10"/>
        <rFont val="Noto Sans CJK SC"/>
        <family val="2"/>
      </rPr>
      <t xml:space="preserve">；待机</t>
    </r>
    <r>
      <rPr>
        <sz val="10"/>
        <rFont val="Arial"/>
        <family val="0"/>
        <charset val="1"/>
      </rPr>
      <t xml:space="preserve">7–10</t>
    </r>
    <r>
      <rPr>
        <sz val="10"/>
        <rFont val="Noto Sans CJK SC"/>
        <family val="2"/>
      </rPr>
      <t xml:space="preserve">天；</t>
    </r>
    <r>
      <rPr>
        <sz val="10"/>
        <rFont val="Arial"/>
        <family val="0"/>
        <charset val="1"/>
      </rPr>
      <t xml:space="preserve">4.5g</t>
    </r>
    <r>
      <rPr>
        <sz val="10"/>
        <rFont val="Noto Sans CJK SC"/>
        <family val="2"/>
      </rPr>
      <t xml:space="preserve">；尺码</t>
    </r>
    <r>
      <rPr>
        <sz val="10"/>
        <rFont val="Arial"/>
        <family val="0"/>
        <charset val="1"/>
      </rPr>
      <t xml:space="preserve">7–13</t>
    </r>
  </si>
  <si>
    <r>
      <rPr>
        <sz val="10"/>
        <rFont val="Noto Sans CJK SC"/>
        <family val="2"/>
      </rPr>
      <t xml:space="preserve">附件台账有录音戒指询盘（</t>
    </r>
    <r>
      <rPr>
        <sz val="10"/>
        <rFont val="Arial"/>
        <family val="0"/>
        <charset val="1"/>
      </rPr>
      <t xml:space="preserve">Tolmer</t>
    </r>
    <r>
      <rPr>
        <sz val="10"/>
        <rFont val="Noto Sans CJK SC"/>
        <family val="2"/>
      </rPr>
      <t xml:space="preserve">）</t>
    </r>
  </si>
  <si>
    <t xml:space="preserve">HA-TOYMD</t>
  </si>
  <si>
    <r>
      <rPr>
        <sz val="10"/>
        <rFont val="Arial"/>
        <family val="0"/>
        <charset val="1"/>
      </rPr>
      <t xml:space="preserve">TOY Module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</si>
  <si>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t xml:space="preserve">模组</t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</si>
  <si>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BLE5.0</t>
    </r>
    <r>
      <rPr>
        <sz val="10"/>
        <rFont val="Noto Sans CJK SC"/>
        <family val="2"/>
      </rPr>
      <t xml:space="preserve">；唤醒词；可控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电机；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3000mAh 12h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62×58×34mm</t>
    </r>
  </si>
  <si>
    <t xml:space="preserve">HA-PEN01</t>
  </si>
  <si>
    <r>
      <rPr>
        <sz val="10"/>
        <rFont val="Arial"/>
        <family val="0"/>
        <charset val="1"/>
      </rPr>
      <t xml:space="preserve">VoicePen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</si>
  <si>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MicroUSB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卡；</t>
    </r>
    <r>
      <rPr>
        <sz val="10"/>
        <rFont val="Arial"/>
        <family val="0"/>
        <charset val="1"/>
      </rPr>
      <t xml:space="preserve">160mAh 15h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Φ15×145mm</t>
    </r>
  </si>
  <si>
    <t xml:space="preserve">总览页有卡片，无详情页</t>
  </si>
  <si>
    <t xml:space="preserve">HA-TWS01</t>
  </si>
  <si>
    <r>
      <rPr>
        <sz val="10"/>
        <rFont val="Arial"/>
        <family val="0"/>
        <charset val="1"/>
      </rPr>
      <t xml:space="preserve">TWS Headset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</si>
  <si>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；耳机</t>
    </r>
    <r>
      <rPr>
        <sz val="10"/>
        <rFont val="Arial"/>
        <family val="0"/>
        <charset val="1"/>
      </rPr>
      <t xml:space="preserve">30mAh</t>
    </r>
    <r>
      <rPr>
        <sz val="10"/>
        <rFont val="Noto Sans CJK SC"/>
        <family val="2"/>
      </rPr>
      <t xml:space="preserve">、仓</t>
    </r>
    <r>
      <rPr>
        <sz val="10"/>
        <rFont val="Arial"/>
        <family val="0"/>
        <charset val="1"/>
      </rPr>
      <t xml:space="preserve">200mAh</t>
    </r>
    <r>
      <rPr>
        <sz val="10"/>
        <rFont val="Noto Sans CJK SC"/>
        <family val="2"/>
      </rPr>
      <t xml:space="preserve">；约</t>
    </r>
    <r>
      <rPr>
        <sz val="10"/>
        <rFont val="Arial"/>
        <family val="0"/>
        <charset val="1"/>
      </rPr>
      <t xml:space="preserve">5h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电量；</t>
    </r>
    <r>
      <rPr>
        <sz val="10"/>
        <rFont val="Arial"/>
        <family val="0"/>
        <charset val="1"/>
      </rPr>
      <t xml:space="preserve">31g</t>
    </r>
  </si>
  <si>
    <r>
      <rPr>
        <sz val="10"/>
        <rFont val="Arial"/>
        <family val="0"/>
        <charset val="1"/>
      </rPr>
      <t xml:space="preserve">products/eb01</t>
    </r>
    <r>
      <rPr>
        <sz val="10"/>
        <rFont val="Noto Sans CJK SC"/>
        <family val="2"/>
      </rPr>
      <t xml:space="preserve">（目录名与</t>
    </r>
    <r>
      <rPr>
        <sz val="10"/>
        <rFont val="Arial"/>
        <family val="0"/>
        <charset val="1"/>
      </rPr>
      <t xml:space="preserve">SKU</t>
    </r>
    <r>
      <rPr>
        <sz val="10"/>
        <rFont val="Noto Sans CJK SC"/>
        <family val="2"/>
      </rPr>
      <t xml:space="preserve">不一致）</t>
    </r>
  </si>
  <si>
    <t xml:space="preserve">HA-OWS03</t>
  </si>
  <si>
    <r>
      <rPr>
        <sz val="10"/>
        <rFont val="Arial"/>
        <family val="0"/>
        <charset val="1"/>
      </rPr>
      <t xml:space="preserve">OWS Headset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</si>
  <si>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；耳机</t>
    </r>
    <r>
      <rPr>
        <sz val="10"/>
        <rFont val="Arial"/>
        <family val="0"/>
        <charset val="1"/>
      </rPr>
      <t xml:space="preserve">60mAh</t>
    </r>
    <r>
      <rPr>
        <sz val="10"/>
        <rFont val="Noto Sans CJK SC"/>
        <family val="2"/>
      </rPr>
      <t xml:space="preserve">、仓</t>
    </r>
    <r>
      <rPr>
        <sz val="10"/>
        <rFont val="Arial"/>
        <family val="0"/>
        <charset val="1"/>
      </rPr>
      <t xml:space="preserve">300mAh</t>
    </r>
    <r>
      <rPr>
        <sz val="10"/>
        <rFont val="Noto Sans CJK SC"/>
        <family val="2"/>
      </rPr>
      <t xml:space="preserve">；约</t>
    </r>
    <r>
      <rPr>
        <sz val="10"/>
        <rFont val="Arial"/>
        <family val="0"/>
        <charset val="1"/>
      </rPr>
      <t xml:space="preserve">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68g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73×73×30mm</t>
    </r>
  </si>
  <si>
    <t xml:space="preserve">products/ows03</t>
  </si>
  <si>
    <t xml:space="preserve">HA-GLS01</t>
  </si>
  <si>
    <r>
      <rPr>
        <sz val="10"/>
        <rFont val="Arial"/>
        <family val="0"/>
        <charset val="1"/>
      </rPr>
      <t xml:space="preserve">AI Chat Glasses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</si>
  <si>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BT5.2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400mAh 10h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2K/30fps</t>
    </r>
    <r>
      <rPr>
        <sz val="10"/>
        <rFont val="Noto Sans CJK SC"/>
        <family val="2"/>
      </rPr>
      <t xml:space="preserve">视频；视场</t>
    </r>
    <r>
      <rPr>
        <sz val="10"/>
        <rFont val="Arial"/>
        <family val="0"/>
        <charset val="1"/>
      </rPr>
      <t xml:space="preserve">100°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JPG/MP4 H.264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</t>
    </r>
    <r>
      <rPr>
        <sz val="10"/>
        <rFont val="Arial"/>
        <family val="0"/>
        <charset val="1"/>
      </rPr>
      <t xml:space="preserve">2–256GB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OTG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PC-CAM</t>
    </r>
  </si>
  <si>
    <r>
      <rPr>
        <sz val="10"/>
        <rFont val="Arial"/>
        <family val="0"/>
        <charset val="1"/>
      </rPr>
      <t xml:space="preserve">products/gl01</t>
    </r>
    <r>
      <rPr>
        <sz val="10"/>
        <rFont val="Noto Sans CJK SC"/>
        <family val="2"/>
      </rPr>
      <t xml:space="preserve">：写了</t>
    </r>
    <r>
      <rPr>
        <sz val="10"/>
        <rFont val="Arial"/>
        <family val="0"/>
        <charset val="1"/>
      </rPr>
      <t xml:space="preserve">BT5.3+Wi-Fi</t>
    </r>
    <r>
      <rPr>
        <sz val="10"/>
        <rFont val="Noto Sans CJK SC"/>
        <family val="2"/>
      </rPr>
      <t xml:space="preserve">，与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不符</t>
    </r>
  </si>
  <si>
    <t xml:space="preserve">HA-GLS02</t>
  </si>
  <si>
    <r>
      <rPr>
        <sz val="10"/>
        <rFont val="Arial"/>
        <family val="0"/>
        <charset val="1"/>
      </rPr>
      <t xml:space="preserve">SmartGlass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</si>
  <si>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；双麦；透明防蓝光镜片，支持电致变色；</t>
    </r>
    <r>
      <rPr>
        <sz val="10"/>
        <rFont val="Arial"/>
        <family val="0"/>
        <charset val="1"/>
      </rPr>
      <t xml:space="preserve">PC+ABS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290mAh</t>
    </r>
    <r>
      <rPr>
        <sz val="10"/>
        <rFont val="Noto Sans CJK SC"/>
        <family val="2"/>
      </rPr>
      <t xml:space="preserve">；佩戴检测；</t>
    </r>
    <r>
      <rPr>
        <sz val="10"/>
        <rFont val="Arial"/>
        <family val="0"/>
        <charset val="1"/>
      </rPr>
      <t xml:space="preserve">40g</t>
    </r>
  </si>
  <si>
    <r>
      <rPr>
        <sz val="10"/>
        <rFont val="Arial"/>
        <family val="0"/>
        <charset val="1"/>
      </rPr>
      <t xml:space="preserve">products/gls02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表述；页面名“</t>
    </r>
    <r>
      <rPr>
        <sz val="10"/>
        <rFont val="Arial"/>
        <family val="0"/>
        <charset val="1"/>
      </rPr>
      <t xml:space="preserve">SmartGlass Tint”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不符</t>
    </r>
  </si>
  <si>
    <t xml:space="preserve">HA-GLS03</t>
  </si>
  <si>
    <r>
      <rPr>
        <sz val="10"/>
        <rFont val="Arial"/>
        <family val="0"/>
        <charset val="1"/>
      </rPr>
      <t xml:space="preserve">SmartGlass Steel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</si>
  <si>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；双麦；透明防蓝光镜片；不锈钢框；</t>
    </r>
    <r>
      <rPr>
        <sz val="10"/>
        <rFont val="Arial"/>
        <family val="0"/>
        <charset val="1"/>
      </rPr>
      <t xml:space="preserve">300mAh</t>
    </r>
    <r>
      <rPr>
        <sz val="10"/>
        <rFont val="Noto Sans CJK SC"/>
        <family val="2"/>
      </rPr>
      <t xml:space="preserve">；佩戴检测；</t>
    </r>
    <r>
      <rPr>
        <sz val="10"/>
        <rFont val="Arial"/>
        <family val="0"/>
        <charset val="1"/>
      </rPr>
      <t xml:space="preserve">43g</t>
    </r>
  </si>
  <si>
    <r>
      <rPr>
        <sz val="10"/>
        <rFont val="Arial"/>
        <family val="0"/>
        <charset val="1"/>
      </rPr>
      <t xml:space="preserve">products/gls03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表述；页面名“</t>
    </r>
    <r>
      <rPr>
        <sz val="10"/>
        <rFont val="Arial"/>
        <family val="0"/>
        <charset val="1"/>
      </rPr>
      <t xml:space="preserve">SmartGlass Clear”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[C]“SmartGlass Steel”</t>
    </r>
    <r>
      <rPr>
        <sz val="10"/>
        <rFont val="Noto Sans CJK SC"/>
        <family val="2"/>
      </rPr>
      <t xml:space="preserve">不符</t>
    </r>
  </si>
  <si>
    <t xml:space="preserve">HA-HSC01</t>
  </si>
  <si>
    <r>
      <rPr>
        <sz val="10"/>
        <rFont val="Arial"/>
        <family val="0"/>
        <charset val="1"/>
      </rPr>
      <t xml:space="preserve">BoneRec 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</si>
  <si>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1080p</t>
    </r>
    <r>
      <rPr>
        <sz val="10"/>
        <rFont val="Noto Sans CJK SC"/>
        <family val="2"/>
      </rPr>
      <t xml:space="preserve">；软件防抖；</t>
    </r>
    <r>
      <rPr>
        <sz val="10"/>
        <rFont val="Arial"/>
        <family val="0"/>
        <charset val="1"/>
      </rPr>
      <t xml:space="preserve">BT+Wi-Fi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75°</t>
    </r>
    <r>
      <rPr>
        <sz val="10"/>
        <rFont val="Noto Sans CJK SC"/>
        <family val="2"/>
      </rPr>
      <t xml:space="preserve">；双</t>
    </r>
    <r>
      <rPr>
        <sz val="10"/>
        <rFont val="Arial"/>
        <family val="0"/>
        <charset val="1"/>
      </rPr>
      <t xml:space="preserve">Hi-Fi</t>
    </r>
    <r>
      <rPr>
        <sz val="10"/>
        <rFont val="Noto Sans CJK SC"/>
        <family val="2"/>
      </rPr>
      <t xml:space="preserve">喇叭；</t>
    </r>
    <r>
      <rPr>
        <sz val="10"/>
        <rFont val="Arial"/>
        <family val="0"/>
        <charset val="1"/>
      </rPr>
      <t xml:space="preserve">8GB</t>
    </r>
    <r>
      <rPr>
        <sz val="10"/>
        <rFont val="Noto Sans CJK SC"/>
        <family val="2"/>
      </rPr>
      <t xml:space="preserve">；双麦；实体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触控键；</t>
    </r>
    <r>
      <rPr>
        <sz val="10"/>
        <rFont val="Arial"/>
        <family val="0"/>
        <charset val="1"/>
      </rPr>
      <t xml:space="preserve">Pogo-pin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220mAh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35g</t>
    </r>
  </si>
  <si>
    <r>
      <rPr>
        <sz val="10"/>
        <rFont val="Arial"/>
        <family val="0"/>
        <charset val="1"/>
      </rPr>
      <t xml:space="preserve">products/hsc01</t>
    </r>
    <r>
      <rPr>
        <sz val="10"/>
        <rFont val="Noto Sans CJK SC"/>
        <family val="2"/>
      </rPr>
      <t xml:space="preserve">：有“</t>
    </r>
    <r>
      <rPr>
        <sz val="10"/>
        <rFont val="Arial"/>
        <family val="0"/>
        <charset val="1"/>
      </rPr>
      <t xml:space="preserve">Device→Cloud”</t>
    </r>
    <r>
      <rPr>
        <sz val="10"/>
        <rFont val="Noto Sans CJK SC"/>
        <family val="2"/>
      </rPr>
      <t xml:space="preserve">表述；页面名“</t>
    </r>
    <r>
      <rPr>
        <sz val="10"/>
        <rFont val="Arial"/>
        <family val="0"/>
        <charset val="1"/>
      </rPr>
      <t xml:space="preserve">BoneSonix Cam”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[C]“BoneRec AI”</t>
    </r>
    <r>
      <rPr>
        <sz val="10"/>
        <rFont val="Noto Sans CJK SC"/>
        <family val="2"/>
      </rPr>
      <t xml:space="preserve">不符</t>
    </r>
  </si>
  <si>
    <t xml:space="preserve">HA-BC01-Black</t>
  </si>
  <si>
    <r>
      <rPr>
        <sz val="10"/>
        <rFont val="Arial"/>
        <family val="0"/>
        <charset val="1"/>
      </rPr>
      <t xml:space="preserve">BoneSonix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，黑白同款）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</si>
  <si>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140Hz–15kHz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Pogo-pin 5V/200mA 1h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180mAh 6h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IP66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38.2g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135×101×45mm</t>
    </r>
  </si>
  <si>
    <r>
      <rPr>
        <sz val="10"/>
        <rFont val="Arial"/>
        <family val="0"/>
        <charset val="1"/>
      </rPr>
      <t xml:space="preserve">products/bc01</t>
    </r>
    <r>
      <rPr>
        <sz val="10"/>
        <rFont val="Noto Sans CJK SC"/>
        <family val="2"/>
      </rPr>
      <t xml:space="preserve">：旧文案</t>
    </r>
    <r>
      <rPr>
        <sz val="10"/>
        <rFont val="Arial"/>
        <family val="0"/>
        <charset val="1"/>
      </rPr>
      <t xml:space="preserve">IP67/8h+/Type-C</t>
    </r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不符</t>
    </r>
  </si>
  <si>
    <t xml:space="preserve">HA-BC01-White</t>
  </si>
  <si>
    <r>
      <rPr>
        <sz val="10"/>
        <rFont val="Noto Sans CJK SC"/>
        <family val="2"/>
      </rPr>
      <t xml:space="preserve">同</t>
    </r>
    <r>
      <rPr>
        <sz val="10"/>
        <rFont val="Arial"/>
        <family val="0"/>
        <charset val="1"/>
      </rPr>
      <t xml:space="preserve">Black</t>
    </r>
  </si>
  <si>
    <t xml:space="preserve">products/bc01-white</t>
  </si>
  <si>
    <t xml:space="preserve">HA-SPK01</t>
  </si>
  <si>
    <r>
      <rPr>
        <sz val="10"/>
        <rFont val="Arial"/>
        <family val="0"/>
        <charset val="1"/>
      </rPr>
      <t xml:space="preserve">Magnetic SpeakAI Mini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</si>
  <si>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BT5.1</t>
    </r>
    <r>
      <rPr>
        <sz val="10"/>
        <rFont val="Noto Sans CJK SC"/>
        <family val="2"/>
      </rPr>
      <t xml:space="preserve">；单麦；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；内置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磁环；</t>
    </r>
    <r>
      <rPr>
        <sz val="10"/>
        <rFont val="Arial"/>
        <family val="0"/>
        <charset val="1"/>
      </rPr>
      <t xml:space="preserve">800mAh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40min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86.3g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Φ61×46mm</t>
    </r>
  </si>
  <si>
    <t xml:space="preserve">products/spk01</t>
  </si>
  <si>
    <t xml:space="preserve">HA-SPK02</t>
  </si>
  <si>
    <r>
      <rPr>
        <sz val="10"/>
        <rFont val="Arial"/>
        <family val="0"/>
        <charset val="1"/>
      </rPr>
      <t xml:space="preserve">Magnetic SpeakAI Ring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</si>
  <si>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BT5.1</t>
    </r>
    <r>
      <rPr>
        <sz val="10"/>
        <rFont val="Noto Sans CJK SC"/>
        <family val="2"/>
      </rPr>
      <t xml:space="preserve">；单麦；</t>
    </r>
    <r>
      <rPr>
        <sz val="10"/>
        <rFont val="Arial"/>
        <family val="0"/>
        <charset val="1"/>
      </rPr>
      <t xml:space="preserve">5W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MagSafe</t>
    </r>
    <r>
      <rPr>
        <sz val="10"/>
        <rFont val="Noto Sans CJK SC"/>
        <family val="2"/>
      </rPr>
      <t xml:space="preserve">磁环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灯环；</t>
    </r>
    <r>
      <rPr>
        <sz val="10"/>
        <rFont val="Arial"/>
        <family val="0"/>
        <charset val="1"/>
      </rPr>
      <t xml:space="preserve">800mAh 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40min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119g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Φ61×55mm</t>
    </r>
  </si>
  <si>
    <t xml:space="preserve">products/spk02</t>
  </si>
  <si>
    <t xml:space="preserve">HA-SPK03 Bluetooth</t>
  </si>
  <si>
    <r>
      <rPr>
        <sz val="10"/>
        <rFont val="Arial"/>
        <family val="0"/>
        <charset val="1"/>
      </rPr>
      <t xml:space="preserve">SpeakAI Go Bluetooth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</si>
  <si>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600mAh 1–2h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；磁吸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背夹；</t>
    </r>
    <r>
      <rPr>
        <sz val="10"/>
        <rFont val="Arial"/>
        <family val="0"/>
        <charset val="1"/>
      </rPr>
      <t xml:space="preserve">64g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73×42.9×28.2mm</t>
    </r>
  </si>
  <si>
    <t xml:space="preserve">products/spk03</t>
  </si>
  <si>
    <t xml:space="preserve">HA-TOY01</t>
  </si>
  <si>
    <r>
      <rPr>
        <sz val="10"/>
        <rFont val="Arial"/>
        <family val="0"/>
        <charset val="1"/>
      </rPr>
      <t xml:space="preserve">Plush Toy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</si>
  <si>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；唤醒词；</t>
    </r>
    <r>
      <rPr>
        <sz val="10"/>
        <rFont val="Arial"/>
        <family val="0"/>
        <charset val="1"/>
      </rPr>
      <t xml:space="preserve">0.5W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3000mAh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BT 15–20h / Wi-Fi 7–8h</t>
    </r>
    <r>
      <rPr>
        <sz val="10"/>
        <rFont val="Noto Sans CJK SC"/>
        <family val="2"/>
      </rPr>
      <t xml:space="preserve">）</t>
    </r>
  </si>
  <si>
    <t xml:space="preserve">products/toy01</t>
  </si>
  <si>
    <r>
      <rPr>
        <sz val="10"/>
        <rFont val="Arial"/>
        <family val="0"/>
        <charset val="1"/>
      </rPr>
      <t xml:space="preserve">[Q] 200pcs</t>
    </r>
    <r>
      <rPr>
        <sz val="10"/>
        <rFont val="Noto Sans CJK SC"/>
        <family val="2"/>
      </rPr>
      <t xml:space="preserve">档空白</t>
    </r>
  </si>
  <si>
    <t xml:space="preserve">HA-TOY02</t>
  </si>
  <si>
    <r>
      <rPr>
        <sz val="10"/>
        <rFont val="Arial"/>
        <family val="0"/>
        <charset val="1"/>
      </rPr>
      <t xml:space="preserve">AI Chat Toy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</si>
  <si>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；唤醒；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800mAh 1–2h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83×80×80mm</t>
    </r>
  </si>
  <si>
    <t xml:space="preserve">products/toy02</t>
  </si>
  <si>
    <t xml:space="preserve">HA-TR01</t>
  </si>
  <si>
    <r>
      <rPr>
        <sz val="10"/>
        <rFont val="Arial"/>
        <family val="0"/>
        <charset val="1"/>
      </rPr>
      <t xml:space="preserve">Translator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未列）</t>
    </r>
  </si>
  <si>
    <r>
      <rPr>
        <sz val="10"/>
        <rFont val="Arial"/>
        <family val="0"/>
        <charset val="1"/>
      </rPr>
      <t xml:space="preserve">Wi-Fi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TF</t>
    </r>
    <r>
      <rPr>
        <sz val="10"/>
        <rFont val="Noto Sans CJK SC"/>
        <family val="2"/>
      </rPr>
      <t xml:space="preserve">卡可选；振动；三色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1200mAh 3–4h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82g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110×41.5×13.1mm</t>
    </r>
  </si>
  <si>
    <r>
      <rPr>
        <sz val="10"/>
        <rFont val="Arial"/>
        <family val="0"/>
        <charset val="1"/>
      </rPr>
      <t xml:space="preserve">products/tr01</t>
    </r>
    <r>
      <rPr>
        <sz val="10"/>
        <rFont val="Noto Sans CJK SC"/>
        <family val="2"/>
      </rPr>
      <t xml:space="preserve">；另有 </t>
    </r>
    <r>
      <rPr>
        <sz val="10"/>
        <rFont val="Arial"/>
        <family val="0"/>
        <charset val="1"/>
      </rPr>
      <t xml:space="preserve">products/tl01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tp01 </t>
    </r>
    <r>
      <rPr>
        <sz val="10"/>
        <rFont val="Noto Sans CJK SC"/>
        <family val="2"/>
      </rPr>
      <t xml:space="preserve">两个同类翻译机页</t>
    </r>
  </si>
  <si>
    <r>
      <rPr>
        <sz val="10"/>
        <rFont val="Arial"/>
        <family val="0"/>
        <charset val="1"/>
      </rPr>
      <t xml:space="preserve">[Q] 200pcs</t>
    </r>
    <r>
      <rPr>
        <sz val="10"/>
        <rFont val="Noto Sans CJK SC"/>
        <family val="2"/>
      </rPr>
      <t xml:space="preserve">档空白；</t>
    </r>
    <r>
      <rPr>
        <sz val="10"/>
        <rFont val="Arial"/>
        <family val="0"/>
        <charset val="1"/>
      </rPr>
      <t xml:space="preserve">tl01/tp01</t>
    </r>
    <r>
      <rPr>
        <sz val="10"/>
        <rFont val="Noto Sans CJK SC"/>
        <family val="2"/>
      </rPr>
      <t xml:space="preserve">是否重复需定</t>
    </r>
  </si>
  <si>
    <t xml:space="preserve">HA-TEL02</t>
  </si>
  <si>
    <r>
      <rPr>
        <sz val="10"/>
        <rFont val="Arial"/>
        <family val="0"/>
        <charset val="1"/>
      </rPr>
      <t xml:space="preserve">4G Call Assistant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</si>
  <si>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MT7981B </t>
    </r>
    <r>
      <rPr>
        <sz val="10"/>
        <rFont val="Noto Sans CJK SC"/>
        <family val="2"/>
      </rPr>
      <t xml:space="preserve">双核</t>
    </r>
    <r>
      <rPr>
        <sz val="10"/>
        <rFont val="Arial"/>
        <family val="0"/>
        <charset val="1"/>
      </rPr>
      <t xml:space="preserve">A53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512MB RAM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16MB NOR</t>
    </r>
    <r>
      <rPr>
        <sz val="10"/>
        <rFont val="Noto Sans CJK SC"/>
        <family val="2"/>
      </rPr>
      <t xml:space="preserve">；双频</t>
    </r>
    <r>
      <rPr>
        <sz val="10"/>
        <rFont val="Arial"/>
        <family val="0"/>
        <charset val="1"/>
      </rPr>
      <t xml:space="preserve">Wi-Fi6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4G VoLTE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USB3.0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DC 12V/2A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120×81×70mm</t>
    </r>
  </si>
  <si>
    <t xml:space="preserve">products/tel02</t>
  </si>
  <si>
    <t xml:space="preserve">Telalive</t>
  </si>
  <si>
    <r>
      <rPr>
        <sz val="10"/>
        <rFont val="Arial"/>
        <family val="0"/>
        <charset val="1"/>
      </rPr>
      <t xml:space="preserve">TelAlive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[C]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</si>
  <si>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Wi-Fi 2.4G b/g/n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BT5.0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16GB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RJ45</t>
    </r>
    <r>
      <rPr>
        <sz val="10"/>
        <rFont val="Noto Sans CJK SC"/>
        <family val="2"/>
      </rPr>
      <t xml:space="preserve">千兆；</t>
    </r>
    <r>
      <rPr>
        <sz val="10"/>
        <rFont val="Arial"/>
        <family val="0"/>
        <charset val="1"/>
      </rPr>
      <t xml:space="preserve">FXO/FXS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Type-C 5V/3A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450g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147×137×178mm</t>
    </r>
  </si>
  <si>
    <t xml:space="preserve">products/telalive</t>
  </si>
  <si>
    <t xml:space="preserve">（无报价）</t>
  </si>
  <si>
    <t xml:space="preserve">NanoMic</t>
  </si>
  <si>
    <t xml:space="preserve">[W]/[T]</t>
  </si>
  <si>
    <r>
      <rPr>
        <sz val="10"/>
        <rFont val="Arial"/>
        <family val="0"/>
        <charset val="1"/>
      </rPr>
      <t xml:space="preserve">products/nanomic</t>
    </r>
    <r>
      <rPr>
        <sz val="10"/>
        <rFont val="Noto Sans CJK SC"/>
        <family val="2"/>
      </rPr>
      <t xml:space="preserve">：总览页未链接，</t>
    </r>
    <r>
      <rPr>
        <sz val="10"/>
        <rFont val="Arial"/>
        <family val="0"/>
        <charset val="1"/>
      </rPr>
      <t xml:space="preserve">[Q]</t>
    </r>
    <r>
      <rPr>
        <sz val="10"/>
        <rFont val="Noto Sans CJK SC"/>
        <family val="2"/>
      </rPr>
      <t xml:space="preserve">无对应</t>
    </r>
  </si>
  <si>
    <t xml:space="preserve">是否保留需定</t>
  </si>
  <si>
    <t xml:space="preserve">（储备）</t>
  </si>
  <si>
    <r>
      <rPr>
        <sz val="10"/>
        <rFont val="Arial"/>
        <family val="0"/>
        <charset val="1"/>
      </rPr>
      <t xml:space="preserve">2.4G</t>
    </r>
    <r>
      <rPr>
        <sz val="10"/>
        <rFont val="Noto Sans CJK SC"/>
        <family val="2"/>
      </rPr>
      <t xml:space="preserve">耳夹 </t>
    </r>
    <r>
      <rPr>
        <sz val="10"/>
        <rFont val="Arial"/>
        <family val="0"/>
        <charset val="1"/>
      </rPr>
      <t xml:space="preserve">+ USB</t>
    </r>
    <r>
      <rPr>
        <sz val="10"/>
        <rFont val="Noto Sans CJK SC"/>
        <family val="2"/>
      </rPr>
      <t xml:space="preserve">接收器</t>
    </r>
  </si>
  <si>
    <r>
      <rPr>
        <sz val="10"/>
        <rFont val="Arial"/>
        <family val="0"/>
        <charset val="1"/>
      </rPr>
      <t xml:space="preserve">[T] </t>
    </r>
    <r>
      <rPr>
        <sz val="10"/>
        <rFont val="Noto Sans CJK SC"/>
        <family val="2"/>
      </rPr>
      <t xml:space="preserve">定向储备，</t>
    </r>
    <r>
      <rPr>
        <sz val="10"/>
        <rFont val="Arial"/>
        <family val="0"/>
        <charset val="1"/>
      </rPr>
      <t xml:space="preserve">Aura/Ivy Mini </t>
    </r>
    <r>
      <rPr>
        <sz val="10"/>
        <rFont val="Noto Sans CJK SC"/>
        <family val="2"/>
      </rPr>
      <t xml:space="preserve">需求；暂不上架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</si>
  <si>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</si>
  <si>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SKU/</t>
    </r>
    <r>
      <rPr>
        <b val="true"/>
        <sz val="10"/>
        <color rgb="FFFFFFFF"/>
        <rFont val="Noto Sans CJK SC"/>
        <family val="2"/>
      </rPr>
      <t xml:space="preserve">方案</t>
    </r>
  </si>
  <si>
    <t xml:space="preserve">缺什么</t>
  </si>
  <si>
    <t xml:space="preserve">用于页面哪一项（①–⑦）</t>
  </si>
  <si>
    <t xml:space="preserve">请求状态</t>
  </si>
  <si>
    <r>
      <rPr>
        <b val="true"/>
        <sz val="10"/>
        <color rgb="FFFFFFFF"/>
        <rFont val="Noto Sans CJK SC"/>
        <family val="2"/>
      </rPr>
      <t xml:space="preserve">对方回复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恢复日期</t>
    </r>
  </si>
  <si>
    <r>
      <rPr>
        <sz val="10"/>
        <color rgb="FF000000"/>
        <rFont val="Noto Sans CJK SC"/>
        <family val="2"/>
      </rPr>
      <t xml:space="preserve">准确出货硬件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固件版本、样品</t>
    </r>
    <r>
      <rPr>
        <sz val="10"/>
        <color rgb="FF000000"/>
        <rFont val="Arial"/>
        <family val="0"/>
        <charset val="1"/>
      </rPr>
      <t xml:space="preserve">SN</t>
    </r>
  </si>
  <si>
    <t xml:space="preserve">①</t>
  </si>
  <si>
    <t xml:space="preserve">已发出</t>
  </si>
  <si>
    <r>
      <rPr>
        <sz val="10"/>
        <color rgb="FF000000"/>
        <rFont val="Arial"/>
        <family val="0"/>
        <charset val="1"/>
      </rPr>
      <t xml:space="preserve">10-22</t>
    </r>
    <r>
      <rPr>
        <sz val="10"/>
        <color rgb="FF000000"/>
        <rFont val="Noto Sans CJK SC"/>
        <family val="2"/>
      </rPr>
      <t xml:space="preserve">微信发出；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已邮件；未回复</t>
    </r>
  </si>
  <si>
    <r>
      <rPr>
        <sz val="10"/>
        <color rgb="FF000000"/>
        <rFont val="Arial"/>
        <family val="0"/>
        <charset val="1"/>
      </rPr>
      <t xml:space="preserve">BLE</t>
    </r>
    <r>
      <rPr>
        <sz val="10"/>
        <color rgb="FF000000"/>
        <rFont val="Noto Sans CJK SC"/>
        <family val="2"/>
      </rPr>
      <t xml:space="preserve">控制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文件同步、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快传实测结论；是否有任何无手机直传配置</t>
    </r>
  </si>
  <si>
    <t xml:space="preserve">④</t>
  </si>
  <si>
    <r>
      <rPr>
        <sz val="10"/>
        <color rgb="FF000000"/>
        <rFont val="Noto Sans CJK SC"/>
        <family val="2"/>
      </rPr>
      <t xml:space="preserve">断线</t>
    </r>
    <r>
      <rPr>
        <sz val="10"/>
        <color rgb="FF000000"/>
        <rFont val="Arial"/>
        <family val="0"/>
        <charset val="1"/>
      </rPr>
      <t xml:space="preserve">/App</t>
    </r>
    <r>
      <rPr>
        <sz val="10"/>
        <color rgb="FF000000"/>
        <rFont val="Noto Sans CJK SC"/>
        <family val="2"/>
      </rPr>
      <t xml:space="preserve">重启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设备重启后的续传与整文件校验（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自身测试）</t>
    </r>
  </si>
  <si>
    <t xml:space="preserve">④⑤</t>
  </si>
  <si>
    <r>
      <rPr>
        <sz val="10"/>
        <color rgb="FF000000"/>
        <rFont val="Noto Sans CJK SC"/>
        <family val="2"/>
      </rPr>
      <t xml:space="preserve">供应商固件权属、可修改范围、</t>
    </r>
    <r>
      <rPr>
        <sz val="10"/>
        <color rgb="FF000000"/>
        <rFont val="Arial"/>
        <family val="0"/>
        <charset val="1"/>
      </rPr>
      <t xml:space="preserve">SDK/</t>
    </r>
    <r>
      <rPr>
        <sz val="10"/>
        <color rgb="FF000000"/>
        <rFont val="Noto Sans CJK SC"/>
        <family val="2"/>
      </rPr>
      <t xml:space="preserve">协议可交付范围及收费</t>
    </r>
  </si>
  <si>
    <t xml:space="preserve">①⑥</t>
  </si>
  <si>
    <t xml:space="preserve">吴琼</t>
  </si>
  <si>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已邮件；未回复</t>
    </r>
  </si>
  <si>
    <r>
      <rPr>
        <sz val="10"/>
        <color rgb="FF000000"/>
        <rFont val="Noto Sans CJK SC"/>
        <family val="2"/>
      </rPr>
      <t xml:space="preserve">认证现状（按型号）、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现状；电话传感器配置差异</t>
    </r>
  </si>
  <si>
    <t xml:space="preserve">⑦</t>
  </si>
  <si>
    <t xml:space="preserve">实物三视图、正式产品图使用权</t>
  </si>
  <si>
    <t xml:space="preserve">③</t>
  </si>
  <si>
    <t xml:space="preserve">黄俊鹏</t>
  </si>
  <si>
    <t xml:space="preserve">已回复</t>
  </si>
  <si>
    <r>
      <rPr>
        <sz val="10"/>
        <color rgb="FF000000"/>
        <rFont val="Arial"/>
        <family val="0"/>
        <charset val="1"/>
      </rPr>
      <t xml:space="preserve">10-22</t>
    </r>
    <r>
      <rPr>
        <sz val="10"/>
        <color rgb="FF000000"/>
        <rFont val="Noto Sans CJK SC"/>
        <family val="2"/>
      </rPr>
      <t xml:space="preserve">已回复，待核对后回填</t>
    </r>
  </si>
  <si>
    <r>
      <rPr>
        <sz val="10"/>
        <color rgb="FF000000"/>
        <rFont val="Noto Sans CJK SC"/>
        <family val="2"/>
      </rPr>
      <t xml:space="preserve">真实原始录音样本（注明格式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距离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噪声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固件版本）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完整文件进客户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演示</t>
    </r>
  </si>
  <si>
    <t xml:space="preserve">⑤</t>
  </si>
  <si>
    <r>
      <rPr>
        <sz val="10"/>
        <color rgb="FF000000"/>
        <rFont val="Arial"/>
        <family val="0"/>
        <charset val="1"/>
      </rPr>
      <t xml:space="preserve">Luna / </t>
    </r>
    <r>
      <rPr>
        <sz val="10"/>
        <color rgb="FF000000"/>
        <rFont val="Noto Sans CJK SC"/>
        <family val="2"/>
      </rPr>
      <t xml:space="preserve">吴胜宇</t>
    </r>
  </si>
  <si>
    <t xml:space="preserve">10-25</t>
  </si>
  <si>
    <t xml:space="preserve">HA-CS02 PCBA</t>
  </si>
  <si>
    <r>
      <rPr>
        <sz val="10"/>
        <color rgb="FF000000"/>
        <rFont val="Noto Sans CJK SC"/>
        <family val="2"/>
      </rPr>
      <t xml:space="preserve">来源、修改权、维护责任；与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关系</t>
    </r>
  </si>
  <si>
    <r>
      <rPr>
        <sz val="10"/>
        <color rgb="FF000000"/>
        <rFont val="Noto Sans CJK SC"/>
        <family val="2"/>
      </rPr>
      <t xml:space="preserve">吴琼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</si>
  <si>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r>
      <rPr>
        <sz val="10"/>
        <color rgb="FF000000"/>
        <rFont val="Arial"/>
        <family val="0"/>
        <charset val="1"/>
      </rPr>
      <t xml:space="preserve">10-22</t>
    </r>
    <r>
      <rPr>
        <sz val="10"/>
        <color rgb="FF000000"/>
        <rFont val="Noto Sans CJK SC"/>
        <family val="2"/>
      </rPr>
      <t xml:space="preserve">微信发吴胜宇；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已邮件吴胜宇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吴琼；未回复</t>
    </r>
  </si>
  <si>
    <r>
      <rPr>
        <sz val="10"/>
        <color rgb="FF000000"/>
        <rFont val="Noto Sans CJK SC"/>
        <family val="2"/>
      </rPr>
      <t xml:space="preserve">裸板正反面、带尺寸板框、天线禁布区、接插件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麦位置</t>
    </r>
  </si>
  <si>
    <r>
      <rPr>
        <sz val="10"/>
        <color rgb="FF000000"/>
        <rFont val="Noto Sans CJK SC"/>
        <family val="2"/>
      </rPr>
      <t xml:space="preserve">黄俊鹏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吴胜宇</t>
    </r>
  </si>
  <si>
    <t xml:space="preserve">上电评估套件配件清单与可运行示例</t>
  </si>
  <si>
    <t xml:space="preserve">②</t>
  </si>
  <si>
    <r>
      <rPr>
        <sz val="10"/>
        <color rgb="FF000000"/>
        <rFont val="Noto Sans CJK SC"/>
        <family val="2"/>
      </rPr>
      <t xml:space="preserve">板卡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评估套件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整机三档样品价与</t>
    </r>
    <r>
      <rPr>
        <sz val="10"/>
        <color rgb="FF000000"/>
        <rFont val="Arial"/>
        <family val="0"/>
        <charset val="1"/>
      </rPr>
      <t xml:space="preserve">MOQ</t>
    </r>
  </si>
  <si>
    <t xml:space="preserve">⑥</t>
  </si>
  <si>
    <t xml:space="preserve">Yuki / Swallow</t>
  </si>
  <si>
    <t xml:space="preserve">未答</t>
  </si>
  <si>
    <r>
      <rPr>
        <sz val="10"/>
        <color rgb="FF000000"/>
        <rFont val="Arial"/>
        <family val="0"/>
        <charset val="1"/>
      </rPr>
      <t xml:space="preserve">[Y] </t>
    </r>
    <r>
      <rPr>
        <sz val="10"/>
        <color rgb="FF000000"/>
        <rFont val="Noto Sans CJK SC"/>
        <family val="2"/>
      </rPr>
      <t xml:space="preserve">未给出分档样品价</t>
    </r>
    <r>
      <rPr>
        <sz val="10"/>
        <color rgb="FF000000"/>
        <rFont val="Arial"/>
        <family val="0"/>
        <charset val="1"/>
      </rPr>
      <t xml:space="preserve">/MOQ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10-28</t>
    </r>
    <r>
      <rPr>
        <sz val="10"/>
        <color rgb="FF000000"/>
        <rFont val="Noto Sans CJK SC"/>
        <family val="2"/>
      </rPr>
      <t xml:space="preserve">再次请求</t>
    </r>
  </si>
  <si>
    <r>
      <rPr>
        <sz val="10"/>
        <color rgb="FF000000"/>
        <rFont val="Noto Sans CJK SC"/>
        <family val="2"/>
      </rPr>
      <t xml:space="preserve">精确固件版本与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支持表；样品外壳状态（</t>
    </r>
    <r>
      <rPr>
        <sz val="10"/>
        <color rgb="FF000000"/>
        <rFont val="Arial"/>
        <family val="0"/>
        <charset val="1"/>
      </rPr>
      <t xml:space="preserve">3D</t>
    </r>
    <r>
      <rPr>
        <sz val="10"/>
        <color rgb="FF000000"/>
        <rFont val="Noto Sans CJK SC"/>
        <family val="2"/>
      </rPr>
      <t xml:space="preserve">打印）</t>
    </r>
  </si>
  <si>
    <t xml:space="preserve">①⑦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</si>
  <si>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BES2710_MD/DEV</t>
    </r>
    <r>
      <rPr>
        <sz val="10"/>
        <color rgb="FF000000"/>
        <rFont val="Noto Sans CJK SC"/>
        <family val="2"/>
      </rPr>
      <t xml:space="preserve">是否同平台（决定是否有</t>
    </r>
    <r>
      <rPr>
        <sz val="10"/>
        <color rgb="FF000000"/>
        <rFont val="Arial"/>
        <family val="0"/>
        <charset val="1"/>
      </rPr>
      <t xml:space="preserve">PCBA/</t>
    </r>
    <r>
      <rPr>
        <sz val="10"/>
        <color rgb="FF000000"/>
        <rFont val="Noto Sans CJK SC"/>
        <family val="2"/>
      </rPr>
      <t xml:space="preserve">评估入口）</t>
    </r>
  </si>
  <si>
    <r>
      <rPr>
        <sz val="10"/>
        <color rgb="FF000000"/>
        <rFont val="Noto Sans CJK SC"/>
        <family val="2"/>
      </rPr>
      <t xml:space="preserve">样机实拍；单键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状态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佩戴流程；真实录音与续航工况</t>
    </r>
  </si>
  <si>
    <t xml:space="preserve">③⑤</t>
  </si>
  <si>
    <r>
      <rPr>
        <sz val="10"/>
        <color rgb="FF000000"/>
        <rFont val="Noto Sans CJK SC"/>
        <family val="2"/>
      </rPr>
      <t xml:space="preserve">设备直传客户</t>
    </r>
    <r>
      <rPr>
        <sz val="10"/>
        <color rgb="FF000000"/>
        <rFont val="Arial"/>
        <family val="0"/>
        <charset val="1"/>
      </rPr>
      <t xml:space="preserve">HTTPS</t>
    </r>
    <r>
      <rPr>
        <sz val="10"/>
        <color rgb="FF000000"/>
        <rFont val="Noto Sans CJK SC"/>
        <family val="2"/>
      </rPr>
      <t xml:space="preserve">定制项的范围、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口径</t>
    </r>
  </si>
  <si>
    <t xml:space="preserve">④⑥</t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</si>
  <si>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Yuki</t>
    </r>
  </si>
  <si>
    <r>
      <rPr>
        <sz val="10"/>
        <color rgb="FF000000"/>
        <rFont val="Arial"/>
        <family val="0"/>
        <charset val="1"/>
      </rPr>
      <t xml:space="preserve">[Y] </t>
    </r>
    <r>
      <rPr>
        <sz val="10"/>
        <color rgb="FF000000"/>
        <rFont val="Noto Sans CJK SC"/>
        <family val="2"/>
      </rPr>
      <t xml:space="preserve">未涉及，</t>
    </r>
    <r>
      <rPr>
        <sz val="10"/>
        <color rgb="FF000000"/>
        <rFont val="Arial"/>
        <family val="0"/>
        <charset val="1"/>
      </rPr>
      <t xml:space="preserve">10-28</t>
    </r>
    <r>
      <rPr>
        <sz val="10"/>
        <color rgb="FF000000"/>
        <rFont val="Noto Sans CJK SC"/>
        <family val="2"/>
      </rPr>
      <t xml:space="preserve">再次请求</t>
    </r>
  </si>
  <si>
    <r>
      <rPr>
        <sz val="10"/>
        <color rgb="FF000000"/>
        <rFont val="Noto Sans CJK SC"/>
        <family val="2"/>
      </rPr>
      <t xml:space="preserve">各出货版本</t>
    </r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功能说明</t>
    </r>
  </si>
  <si>
    <t xml:space="preserve">①④</t>
  </si>
  <si>
    <r>
      <rPr>
        <sz val="10"/>
        <color rgb="FF000000"/>
        <rFont val="Noto Sans CJK SC"/>
        <family val="2"/>
      </rPr>
      <t xml:space="preserve">是否即官网</t>
    </r>
    <r>
      <rPr>
        <sz val="10"/>
        <color rgb="FF000000"/>
        <rFont val="Arial"/>
        <family val="0"/>
        <charset val="1"/>
      </rPr>
      <t xml:space="preserve">MIC05</t>
    </r>
    <r>
      <rPr>
        <sz val="10"/>
        <color rgb="FF000000"/>
        <rFont val="Noto Sans CJK SC"/>
        <family val="2"/>
      </rPr>
      <t xml:space="preserve">；“独立</t>
    </r>
    <r>
      <rPr>
        <sz val="10"/>
        <color rgb="FF000000"/>
        <rFont val="Arial"/>
        <family val="0"/>
        <charset val="1"/>
      </rPr>
      <t xml:space="preserve">2.4GHz</t>
    </r>
    <r>
      <rPr>
        <sz val="10"/>
        <color rgb="FF000000"/>
        <rFont val="Noto Sans CJK SC"/>
        <family val="2"/>
      </rPr>
      <t xml:space="preserve">通道”的含义</t>
    </r>
  </si>
  <si>
    <t xml:space="preserve">HA-CS03</t>
  </si>
  <si>
    <r>
      <rPr>
        <sz val="10"/>
        <color rgb="FF000000"/>
        <rFont val="Noto Sans CJK SC"/>
        <family val="2"/>
      </rPr>
      <t xml:space="preserve">供应商合法授权工具链</t>
    </r>
    <r>
      <rPr>
        <sz val="10"/>
        <color rgb="FF000000"/>
        <rFont val="Arial"/>
        <family val="0"/>
        <charset val="1"/>
      </rPr>
      <t xml:space="preserve">/SDK</t>
    </r>
    <r>
      <rPr>
        <sz val="10"/>
        <color rgb="FF000000"/>
        <rFont val="Noto Sans CJK SC"/>
        <family val="2"/>
      </rPr>
      <t xml:space="preserve">、维护支持；样品</t>
    </r>
  </si>
  <si>
    <r>
      <rPr>
        <sz val="10"/>
        <color rgb="FF000000"/>
        <rFont val="Arial"/>
        <family val="0"/>
        <charset val="1"/>
      </rPr>
      <t xml:space="preserve">PCBA</t>
    </r>
    <r>
      <rPr>
        <sz val="10"/>
        <color rgb="FF000000"/>
        <rFont val="Noto Sans CJK SC"/>
        <family val="2"/>
      </rPr>
      <t xml:space="preserve">实际板框、四麦布局、原生录音格式样本（是否</t>
    </r>
    <r>
      <rPr>
        <sz val="10"/>
        <color rgb="FF000000"/>
        <rFont val="Arial"/>
        <family val="0"/>
        <charset val="1"/>
      </rPr>
      <t xml:space="preserve">48k</t>
    </r>
    <r>
      <rPr>
        <sz val="10"/>
        <color rgb="FF000000"/>
        <rFont val="Noto Sans CJK SC"/>
        <family val="2"/>
      </rPr>
      <t xml:space="preserve">无损）</t>
    </r>
  </si>
  <si>
    <r>
      <rPr>
        <sz val="10"/>
        <color rgb="FF000000"/>
        <rFont val="Noto Sans CJK SC"/>
        <family val="2"/>
      </rPr>
      <t xml:space="preserve">会议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固定采音</t>
    </r>
  </si>
  <si>
    <r>
      <rPr>
        <sz val="10"/>
        <color rgb="FF000000"/>
        <rFont val="Noto Sans CJK SC"/>
        <family val="2"/>
      </rPr>
      <t xml:space="preserve">方案是否冻结；阵列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算法伙伴；原始通道</t>
    </r>
    <r>
      <rPr>
        <sz val="10"/>
        <color rgb="FF000000"/>
        <rFont val="Arial"/>
        <family val="0"/>
        <charset val="1"/>
      </rPr>
      <t xml:space="preserve">vs</t>
    </r>
    <r>
      <rPr>
        <sz val="10"/>
        <color rgb="FF000000"/>
        <rFont val="Noto Sans CJK SC"/>
        <family val="2"/>
      </rPr>
      <t xml:space="preserve">增强输出边界</t>
    </r>
  </si>
  <si>
    <r>
      <rPr>
        <sz val="10"/>
        <color rgb="FF000000"/>
        <rFont val="Noto Sans CJK SC"/>
        <family val="2"/>
      </rPr>
      <t xml:space="preserve">吴胜宇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吴琼</t>
    </r>
  </si>
  <si>
    <t xml:space="preserve">实测摆位图与同场景对照音频</t>
  </si>
  <si>
    <t xml:space="preserve">10-27</t>
  </si>
  <si>
    <r>
      <rPr>
        <sz val="10"/>
        <color rgb="FF000000"/>
        <rFont val="Noto Sans CJK SC"/>
        <family val="2"/>
      </rPr>
      <t xml:space="preserve">开发板实拍、麦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扬声器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电源清单、烧录与</t>
    </r>
    <r>
      <rPr>
        <sz val="10"/>
        <color rgb="FF000000"/>
        <rFont val="Arial"/>
        <family val="0"/>
        <charset val="1"/>
      </rPr>
      <t xml:space="preserve">endpoint</t>
    </r>
    <r>
      <rPr>
        <sz val="10"/>
        <color rgb="FF000000"/>
        <rFont val="Noto Sans CJK SC"/>
        <family val="2"/>
      </rPr>
      <t xml:space="preserve">配置文档</t>
    </r>
  </si>
  <si>
    <t xml:space="preserve">③⑥</t>
  </si>
  <si>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许可说明；官网“</t>
    </r>
    <r>
      <rPr>
        <sz val="10"/>
        <color rgb="FF000000"/>
        <rFont val="Arial"/>
        <family val="0"/>
        <charset val="1"/>
      </rPr>
      <t xml:space="preserve">source code/OTA”</t>
    </r>
    <r>
      <rPr>
        <sz val="10"/>
        <color rgb="FF000000"/>
        <rFont val="Noto Sans CJK SC"/>
        <family val="2"/>
      </rPr>
      <t xml:space="preserve">表述是否属实</t>
    </r>
  </si>
  <si>
    <t xml:space="preserve">⑥⑦</t>
  </si>
  <si>
    <t xml:space="preserve">上下行接入演示</t>
  </si>
  <si>
    <t xml:space="preserve">Luna</t>
  </si>
  <si>
    <t xml:space="preserve">阻塞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</si>
  <si>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本周病假，未开始</t>
    </r>
  </si>
  <si>
    <t xml:space="preserve">全部</t>
  </si>
  <si>
    <r>
      <rPr>
        <sz val="10"/>
        <color rgb="FF000000"/>
        <rFont val="Noto Sans CJK SC"/>
        <family val="2"/>
      </rPr>
      <t xml:space="preserve">官网咨询表单路由与测试询盘送达（产品</t>
    </r>
    <r>
      <rPr>
        <sz val="10"/>
        <color rgb="FF000000"/>
        <rFont val="Arial"/>
        <family val="0"/>
        <charset val="1"/>
      </rPr>
      <t xml:space="preserve">ID/URL/</t>
    </r>
    <r>
      <rPr>
        <sz val="10"/>
        <color rgb="FF000000"/>
        <rFont val="Noto Sans CJK SC"/>
        <family val="2"/>
      </rPr>
      <t xml:space="preserve">来源）</t>
    </r>
  </si>
  <si>
    <t xml:space="preserve">10-29</t>
  </si>
  <si>
    <t xml:space="preserve">英文文案压缩（基于已核事实）</t>
  </si>
  <si>
    <t xml:space="preserve">Keith</t>
  </si>
  <si>
    <r>
      <rPr>
        <sz val="10"/>
        <color rgb="FF000000"/>
        <rFont val="Noto Sans CJK SC"/>
        <family val="2"/>
      </rPr>
      <t xml:space="preserve">各批次节点前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天</t>
    </r>
  </si>
  <si>
    <t xml:space="preserve">未发出</t>
  </si>
  <si>
    <t xml:space="preserve">按批次节点前请求</t>
  </si>
  <si>
    <r>
      <rPr>
        <sz val="10"/>
        <color rgb="FF000000"/>
        <rFont val="Noto Sans CJK SC"/>
        <family val="2"/>
      </rPr>
      <t xml:space="preserve">样品</t>
    </r>
    <r>
      <rPr>
        <sz val="10"/>
        <color rgb="FF000000"/>
        <rFont val="Arial"/>
        <family val="0"/>
        <charset val="1"/>
      </rPr>
      <t xml:space="preserve">/NRE/SDK/</t>
    </r>
    <r>
      <rPr>
        <sz val="10"/>
        <color rgb="FF000000"/>
        <rFont val="Noto Sans CJK SC"/>
        <family val="2"/>
      </rPr>
      <t xml:space="preserve">量产分项报价口径（官网展示到什么程度）</t>
    </r>
  </si>
  <si>
    <r>
      <rPr>
        <sz val="10"/>
        <color rgb="FF000000"/>
        <rFont val="Arial"/>
        <family val="0"/>
        <charset val="1"/>
      </rPr>
      <t xml:space="preserve">Yuki / Swallow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</t>
    </r>
  </si>
  <si>
    <t xml:space="preserve">部分回复</t>
  </si>
  <si>
    <r>
      <rPr>
        <sz val="10"/>
        <color rgb="FF000000"/>
        <rFont val="Arial"/>
        <family val="0"/>
        <charset val="1"/>
      </rPr>
      <t xml:space="preserve">[Y] </t>
    </r>
    <r>
      <rPr>
        <sz val="10"/>
        <color rgb="FF000000"/>
        <rFont val="Noto Sans CJK SC"/>
        <family val="2"/>
      </rPr>
      <t xml:space="preserve">公开口径：提供样品，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件起有阶梯价；</t>
    </r>
    <r>
      <rPr>
        <sz val="10"/>
        <color rgb="FF000000"/>
        <rFont val="Arial"/>
        <family val="0"/>
        <charset val="1"/>
      </rPr>
      <t xml:space="preserve">White label/ODM</t>
    </r>
    <r>
      <rPr>
        <sz val="10"/>
        <color rgb="FF000000"/>
        <rFont val="Noto Sans CJK SC"/>
        <family val="2"/>
      </rPr>
      <t xml:space="preserve">价格需联系确认。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触发条件、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是否收费未答</t>
    </r>
  </si>
  <si>
    <r>
      <rPr>
        <sz val="10"/>
        <color rgb="FF000000"/>
        <rFont val="Noto Sans CJK SC"/>
        <family val="2"/>
      </rPr>
      <t xml:space="preserve">研发待答清单回复；正式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占位图来源</t>
    </r>
  </si>
  <si>
    <t xml:space="preserve">①③</t>
  </si>
  <si>
    <r>
      <rPr>
        <sz val="10"/>
        <color rgb="FF000000"/>
        <rFont val="Noto Sans CJK SC"/>
        <family val="2"/>
      </rPr>
      <t xml:space="preserve">产品对外品牌前缀：公司为</t>
    </r>
    <r>
      <rPr>
        <sz val="10"/>
        <color rgb="FF000000"/>
        <rFont val="Arial"/>
        <family val="0"/>
        <charset val="1"/>
      </rPr>
      <t xml:space="preserve">GMIC 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与官网仍用“</t>
    </r>
    <r>
      <rPr>
        <sz val="10"/>
        <color rgb="FF000000"/>
        <rFont val="Arial"/>
        <family val="0"/>
        <charset val="1"/>
      </rPr>
      <t xml:space="preserve">Hearit.ai X”</t>
    </r>
    <r>
      <rPr>
        <sz val="10"/>
        <color rgb="FF000000"/>
        <rFont val="Noto Sans CJK SC"/>
        <family val="2"/>
      </rPr>
      <t xml:space="preserve">，是否改为“</t>
    </r>
    <r>
      <rPr>
        <sz val="10"/>
        <color rgb="FF000000"/>
        <rFont val="Arial"/>
        <family val="0"/>
        <charset val="1"/>
      </rPr>
      <t xml:space="preserve">GMIC X”</t>
    </r>
    <r>
      <rPr>
        <sz val="10"/>
        <color rgb="FF000000"/>
        <rFont val="Noto Sans CJK SC"/>
        <family val="2"/>
      </rPr>
      <t xml:space="preserve">或不加前缀</t>
    </r>
  </si>
  <si>
    <t xml:space="preserve">Trigg</t>
  </si>
  <si>
    <t xml:space="preserve">10-23</t>
  </si>
  <si>
    <r>
      <rPr>
        <sz val="10"/>
        <color rgb="FF000000"/>
        <rFont val="Arial"/>
        <family val="0"/>
        <charset val="1"/>
      </rPr>
      <t xml:space="preserve">10-23</t>
    </r>
    <r>
      <rPr>
        <sz val="10"/>
        <color rgb="FF000000"/>
        <rFont val="Noto Sans CJK SC"/>
        <family val="2"/>
      </rPr>
      <t xml:space="preserve">邮件中提请决定</t>
    </r>
  </si>
  <si>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营销说法是否有依据：“不经过我方服务器”、</t>
    </r>
    <r>
      <rPr>
        <sz val="10"/>
        <color rgb="FF000000"/>
        <rFont val="Arial"/>
        <family val="0"/>
        <charset val="1"/>
      </rPr>
      <t xml:space="preserve">Customer-Managed Processing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 Encryption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250+ Enterprise Deployments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20+ industries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Auto-Sync to CRM</t>
    </r>
  </si>
  <si>
    <r>
      <rPr>
        <sz val="10"/>
        <color rgb="FF000000"/>
        <rFont val="Arial"/>
        <family val="0"/>
        <charset val="1"/>
      </rPr>
      <t xml:space="preserve">Trigg / </t>
    </r>
    <r>
      <rPr>
        <sz val="10"/>
        <color rgb="FF000000"/>
        <rFont val="Noto Sans CJK SC"/>
        <family val="2"/>
      </rPr>
      <t xml:space="preserve">吴胜宇</t>
    </r>
  </si>
  <si>
    <t xml:space="preserve">HA-SR01</t>
  </si>
  <si>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写</t>
    </r>
    <r>
      <rPr>
        <sz val="10"/>
        <color rgb="FF000000"/>
        <rFont val="Arial"/>
        <family val="0"/>
        <charset val="1"/>
      </rPr>
      <t xml:space="preserve">IP68</t>
    </r>
    <r>
      <rPr>
        <sz val="10"/>
        <color rgb="FF000000"/>
        <rFont val="Noto Sans CJK SC"/>
        <family val="2"/>
      </rPr>
      <t xml:space="preserve">与睡眠监测，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无此两项</t>
    </r>
  </si>
  <si>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各型号产品图原文件（渲染图；</t>
    </r>
    <r>
      <rPr>
        <sz val="10"/>
        <color rgb="FF000000"/>
        <rFont val="Arial"/>
        <family val="0"/>
        <charset val="1"/>
      </rPr>
      <t xml:space="preserve">CS02/VoiceCore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PCBA</t>
    </r>
    <r>
      <rPr>
        <sz val="10"/>
        <color rgb="FF000000"/>
        <rFont val="Noto Sans CJK SC"/>
        <family val="2"/>
      </rPr>
      <t xml:space="preserve">实拍）</t>
    </r>
  </si>
  <si>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触发条件（改固件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改外壳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改板）与</t>
    </r>
    <r>
      <rPr>
        <sz val="10"/>
        <color rgb="FF000000"/>
        <rFont val="Arial"/>
        <family val="0"/>
        <charset val="1"/>
      </rPr>
      <t xml:space="preserve">SDK/</t>
    </r>
    <r>
      <rPr>
        <sz val="10"/>
        <color rgb="FF000000"/>
        <rFont val="Noto Sans CJK SC"/>
        <family val="2"/>
      </rPr>
      <t xml:space="preserve">协议交付是否收费</t>
    </r>
  </si>
  <si>
    <t xml:space="preserve">Yuki</t>
  </si>
  <si>
    <r>
      <rPr>
        <sz val="10"/>
        <color rgb="FF000000"/>
        <rFont val="Noto Sans CJK SC"/>
        <family val="2"/>
      </rPr>
      <t xml:space="preserve">总表范围：只覆盖本轮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页，还是全部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v0.2</t>
    </r>
    <r>
      <rPr>
        <sz val="10"/>
        <color rgb="FF000000"/>
        <rFont val="Noto Sans CJK SC"/>
        <family val="2"/>
      </rPr>
      <t xml:space="preserve">已登记顺延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基础信息）</t>
    </r>
  </si>
  <si>
    <t xml:space="preserve">官网</t>
  </si>
  <si>
    <r>
      <rPr>
        <sz val="10"/>
        <color rgb="FF000000"/>
        <rFont val="Noto Sans CJK SC"/>
        <family val="2"/>
      </rPr>
      <t xml:space="preserve">重复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孤立页面去留：</t>
    </r>
    <r>
      <rPr>
        <sz val="10"/>
        <color rgb="FF000000"/>
        <rFont val="Arial"/>
        <family val="0"/>
        <charset val="1"/>
      </rPr>
      <t xml:space="preserve">magmic↔mic02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tl01/tp01↔tr01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nanomic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eb01</t>
    </r>
    <r>
      <rPr>
        <sz val="10"/>
        <color rgb="FF000000"/>
        <rFont val="Noto Sans CJK SC"/>
        <family val="2"/>
      </rPr>
      <t xml:space="preserve">目录名</t>
    </r>
  </si>
  <si>
    <r>
      <rPr>
        <sz val="10"/>
        <color rgb="FF000000"/>
        <rFont val="Arial"/>
        <family val="0"/>
        <charset val="1"/>
      </rPr>
      <t xml:space="preserve">MIC01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MIC01C</t>
    </r>
    <r>
      <rPr>
        <sz val="10"/>
        <color rgb="FF000000"/>
        <rFont val="Noto Sans CJK SC"/>
        <family val="2"/>
      </rPr>
      <t xml:space="preserve">关系；官网标题“</t>
    </r>
    <r>
      <rPr>
        <sz val="10"/>
        <color rgb="FF000000"/>
        <rFont val="Arial"/>
        <family val="0"/>
        <charset val="1"/>
      </rPr>
      <t xml:space="preserve">Magnetic Speaker”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[Q]“</t>
    </r>
    <r>
      <rPr>
        <sz val="10"/>
        <color rgb="FF000000"/>
        <rFont val="Noto Sans CJK SC"/>
        <family val="2"/>
      </rPr>
      <t xml:space="preserve">无喇叭”冲突</t>
    </r>
  </si>
  <si>
    <t xml:space="preserve">页面</t>
  </si>
  <si>
    <t xml:space="preserve">现有表述</t>
  </si>
  <si>
    <r>
      <rPr>
        <b val="true"/>
        <sz val="10"/>
        <color rgb="FFFFFFFF"/>
        <rFont val="Noto Sans CJK SC"/>
        <family val="2"/>
      </rPr>
      <t xml:space="preserve">问题（对应</t>
    </r>
    <r>
      <rPr>
        <b val="true"/>
        <sz val="10"/>
        <color rgb="FFFFFFFF"/>
        <rFont val="Arial"/>
        <family val="0"/>
        <charset val="1"/>
      </rPr>
      <t xml:space="preserve">Trigg</t>
    </r>
    <r>
      <rPr>
        <b val="true"/>
        <sz val="10"/>
        <color rgb="FFFFFFFF"/>
        <rFont val="Noto Sans CJK SC"/>
        <family val="2"/>
      </rPr>
      <t xml:space="preserve">边界）</t>
    </r>
  </si>
  <si>
    <t xml:space="preserve">建议保守表述（待批准）</t>
  </si>
  <si>
    <t xml:space="preserve">处理状态</t>
  </si>
  <si>
    <t xml:space="preserve">cs01</t>
  </si>
  <si>
    <t xml:space="preserve">Device → Cloud Platform / upload directly to cloud</t>
  </si>
  <si>
    <r>
      <rPr>
        <sz val="10"/>
        <color rgb="FF000000"/>
        <rFont val="Arial"/>
        <family val="0"/>
        <charset val="1"/>
      </rPr>
      <t xml:space="preserve">Wi-Fi</t>
    </r>
    <r>
      <rPr>
        <sz val="10"/>
        <color rgb="FF000000"/>
        <rFont val="Noto Sans CJK SC"/>
        <family val="2"/>
      </rPr>
      <t xml:space="preserve">快传到手机≠无手机直传云；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未验证直传</t>
    </r>
  </si>
  <si>
    <t xml:space="preserve">“Sync through the companion app; direct-to-cloud upload available as a custom configuration (to be validated).”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</si>
  <si>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确认是否先改</t>
    </r>
  </si>
  <si>
    <t xml:space="preserve">speaker identification / speaker-labelled transcripts</t>
  </si>
  <si>
    <r>
      <rPr>
        <sz val="10"/>
        <color rgb="FF000000"/>
        <rFont val="Noto Sans CJK SC"/>
        <family val="2"/>
      </rPr>
      <t xml:space="preserve">采到多麦≠区分多人；依据仅为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截图</t>
    </r>
  </si>
  <si>
    <r>
      <rPr>
        <sz val="10"/>
        <color rgb="FF000000"/>
        <rFont val="Noto Sans CJK SC"/>
        <family val="2"/>
      </rPr>
      <t xml:space="preserve">删除，或改为“</t>
    </r>
    <r>
      <rPr>
        <sz val="10"/>
        <color rgb="FF000000"/>
        <rFont val="Arial"/>
        <family val="0"/>
        <charset val="1"/>
      </rPr>
      <t xml:space="preserve">transcripts and summaries in the companion app”</t>
    </r>
  </si>
  <si>
    <t xml:space="preserve">mic05</t>
  </si>
  <si>
    <t xml:space="preserve">speaker identification</t>
  </si>
  <si>
    <t xml:space="preserve">同上</t>
  </si>
  <si>
    <t xml:space="preserve">删除或改为不涉及区分说话人的表述</t>
  </si>
  <si>
    <t xml:space="preserve">gls02 / gls03 / hsc01</t>
  </si>
  <si>
    <t xml:space="preserve">Device → Cloud Platform</t>
  </si>
  <si>
    <t xml:space="preserve">直传云未经验证（非优先页，顺延精修，但风险表述应先降级）</t>
  </si>
  <si>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cs01</t>
    </r>
  </si>
  <si>
    <t xml:space="preserve">mic06</t>
  </si>
  <si>
    <r>
      <rPr>
        <sz val="10"/>
        <color rgb="FF000000"/>
        <rFont val="Arial"/>
        <family val="0"/>
        <charset val="1"/>
      </rPr>
      <t xml:space="preserve">Device → Cloud Platform</t>
    </r>
    <r>
      <rPr>
        <sz val="10"/>
        <color rgb="FF000000"/>
        <rFont val="Noto Sans CJK SC"/>
        <family val="2"/>
      </rPr>
      <t xml:space="preserve">；规格为</t>
    </r>
    <r>
      <rPr>
        <sz val="10"/>
        <color rgb="FF000000"/>
        <rFont val="Arial"/>
        <family val="0"/>
        <charset val="1"/>
      </rPr>
      <t xml:space="preserve">MIC06B</t>
    </r>
    <r>
      <rPr>
        <sz val="10"/>
        <color rgb="FF000000"/>
        <rFont val="Noto Sans CJK SC"/>
        <family val="2"/>
      </rPr>
      <t xml:space="preserve">却挂在</t>
    </r>
    <r>
      <rPr>
        <sz val="10"/>
        <color rgb="FF000000"/>
        <rFont val="Arial"/>
        <family val="0"/>
        <charset val="1"/>
      </rPr>
      <t xml:space="preserve">MIC06A</t>
    </r>
    <r>
      <rPr>
        <sz val="10"/>
        <color rgb="FF000000"/>
        <rFont val="Noto Sans CJK SC"/>
        <family val="2"/>
      </rPr>
      <t xml:space="preserve">入口</t>
    </r>
  </si>
  <si>
    <r>
      <rPr>
        <sz val="10"/>
        <color rgb="FF000000"/>
        <rFont val="Arial"/>
        <family val="0"/>
        <charset val="1"/>
      </rPr>
      <t xml:space="preserve">MIC06A/B</t>
    </r>
    <r>
      <rPr>
        <sz val="10"/>
        <color rgb="FF000000"/>
        <rFont val="Noto Sans CJK SC"/>
        <family val="2"/>
      </rPr>
      <t xml:space="preserve">混淆；直传为定制项</t>
    </r>
  </si>
  <si>
    <r>
      <rPr>
        <sz val="10"/>
        <color rgb="FF000000"/>
        <rFont val="Noto Sans CJK SC"/>
        <family val="2"/>
      </rPr>
      <t xml:space="preserve">厘清</t>
    </r>
    <r>
      <rPr>
        <sz val="10"/>
        <color rgb="FF000000"/>
        <rFont val="Arial"/>
        <family val="0"/>
        <charset val="1"/>
      </rPr>
      <t xml:space="preserve">A/B</t>
    </r>
    <r>
      <rPr>
        <sz val="10"/>
        <color rgb="FF000000"/>
        <rFont val="Noto Sans CJK SC"/>
        <family val="2"/>
      </rPr>
      <t xml:space="preserve">；直传改为“</t>
    </r>
    <r>
      <rPr>
        <sz val="10"/>
        <color rgb="FF000000"/>
        <rFont val="Arial"/>
        <family val="0"/>
        <charset val="1"/>
      </rPr>
      <t xml:space="preserve">custom configuration”</t>
    </r>
  </si>
  <si>
    <t xml:space="preserve">全部页脚</t>
  </si>
  <si>
    <r>
      <rPr>
        <sz val="10"/>
        <color rgb="FF000000"/>
        <rFont val="Arial"/>
        <family val="0"/>
        <charset val="1"/>
      </rPr>
      <t xml:space="preserve">FCC / CE / UKCA / TELEC / RoHS / ISED </t>
    </r>
    <r>
      <rPr>
        <sz val="10"/>
        <color rgb="FF000000"/>
        <rFont val="Noto Sans CJK SC"/>
        <family val="2"/>
      </rPr>
      <t xml:space="preserve">徽标</t>
    </r>
  </si>
  <si>
    <r>
      <rPr>
        <sz val="10"/>
        <color rgb="FF000000"/>
        <rFont val="Noto Sans CJK SC"/>
        <family val="2"/>
      </rPr>
      <t xml:space="preserve">认证须按准确型号显示；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认证未完成</t>
    </r>
  </si>
  <si>
    <t xml:space="preserve">页脚移除通用认证徽标，改为各页按型号列认证状态</t>
  </si>
  <si>
    <t xml:space="preserve">esp32-kit</t>
  </si>
  <si>
    <t xml:space="preserve">source code / OTA</t>
  </si>
  <si>
    <r>
      <rPr>
        <sz val="10"/>
        <color rgb="FF000000"/>
        <rFont val="Arial"/>
        <family val="0"/>
        <charset val="1"/>
      </rPr>
      <t xml:space="preserve">App SDK≠</t>
    </r>
    <r>
      <rPr>
        <sz val="10"/>
        <color rgb="FF000000"/>
        <rFont val="Noto Sans CJK SC"/>
        <family val="2"/>
      </rPr>
      <t xml:space="preserve">固件源码；芯片能支持≠现售固件已实现</t>
    </r>
  </si>
  <si>
    <t xml:space="preserve">待工程确认后再定</t>
  </si>
  <si>
    <t xml:space="preserve">bc01</t>
  </si>
  <si>
    <r>
      <rPr>
        <sz val="10"/>
        <color rgb="FF000000"/>
        <rFont val="Arial"/>
        <family val="0"/>
        <charset val="1"/>
      </rPr>
      <t xml:space="preserve">IP67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8+ hrs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Type-C dock</t>
    </r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</si>
  <si>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IP66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Pogo-pin</t>
    </r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</si>
  <si>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修正（非优先页）</t>
    </r>
  </si>
  <si>
    <t xml:space="preserve">gl01</t>
  </si>
  <si>
    <t xml:space="preserve">BT 5.3 + Wi-Fi</t>
  </si>
  <si>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Arial"/>
        <family val="0"/>
        <charset val="1"/>
      </rPr>
      <t xml:space="preserve">BT5.2</t>
    </r>
    <r>
      <rPr>
        <sz val="10"/>
        <color rgb="FF000000"/>
        <rFont val="Noto Sans CJK SC"/>
        <family val="2"/>
      </rPr>
      <t xml:space="preserve">，未列</t>
    </r>
    <r>
      <rPr>
        <sz val="10"/>
        <color rgb="FF000000"/>
        <rFont val="Arial"/>
        <family val="0"/>
        <charset val="1"/>
      </rPr>
      <t xml:space="preserve">Wi-Fi</t>
    </r>
  </si>
  <si>
    <r>
      <rPr>
        <sz val="10"/>
        <color rgb="FF000000"/>
        <rFont val="Noto Sans CJK SC"/>
        <family val="2"/>
      </rPr>
      <t xml:space="preserve">全站（总览页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各产品页）</t>
    </r>
  </si>
  <si>
    <r>
      <rPr>
        <sz val="10"/>
        <color rgb="FF000000"/>
        <rFont val="Noto Sans CJK SC"/>
        <family val="2"/>
      </rPr>
      <t xml:space="preserve">产品名使用“</t>
    </r>
    <r>
      <rPr>
        <sz val="10"/>
        <color rgb="FF000000"/>
        <rFont val="Arial"/>
        <family val="0"/>
        <charset val="1"/>
      </rPr>
      <t xml:space="preserve">Hearit.ai X”</t>
    </r>
  </si>
  <si>
    <r>
      <rPr>
        <sz val="10"/>
        <color rgb="FF000000"/>
        <rFont val="Noto Sans CJK SC"/>
        <family val="2"/>
      </rPr>
      <t xml:space="preserve">公司已为</t>
    </r>
    <r>
      <rPr>
        <sz val="10"/>
        <color rgb="FF000000"/>
        <rFont val="Arial"/>
        <family val="0"/>
        <charset val="1"/>
      </rPr>
      <t xml:space="preserve">GMIC AI</t>
    </r>
    <r>
      <rPr>
        <sz val="10"/>
        <color rgb="FF000000"/>
        <rFont val="Noto Sans CJK SC"/>
        <family val="2"/>
      </rPr>
      <t xml:space="preserve">，不再使用</t>
    </r>
    <r>
      <rPr>
        <sz val="10"/>
        <color rgb="FF000000"/>
        <rFont val="Arial"/>
        <family val="0"/>
        <charset val="1"/>
      </rPr>
      <t xml:space="preserve">Hearit.ai</t>
    </r>
    <r>
      <rPr>
        <sz val="10"/>
        <color rgb="FF000000"/>
        <rFont val="Noto Sans CJK SC"/>
        <family val="2"/>
      </rPr>
      <t xml:space="preserve">品牌</t>
    </r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</si>
  <si>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定品牌前缀后统一替换</t>
    </r>
  </si>
  <si>
    <t xml:space="preserve">cs01 / hsc01 / gls02 / gls03</t>
  </si>
  <si>
    <t xml:space="preserve">CardMic / BoneSonix Cam / SmartGlass Tint / SmartGlass Clear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</si>
  <si>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官方名</t>
    </r>
    <r>
      <rPr>
        <sz val="10"/>
        <color rgb="FF000000"/>
        <rFont val="Arial"/>
        <family val="0"/>
        <charset val="1"/>
      </rPr>
      <t xml:space="preserve">CardRec / BoneRec AI / SmartGlass / SmartGlass Steel</t>
    </r>
    <r>
      <rPr>
        <sz val="10"/>
        <color rgb="FF000000"/>
        <rFont val="Noto Sans CJK SC"/>
        <family val="2"/>
      </rPr>
      <t xml:space="preserve">不符</t>
    </r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</si>
  <si>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改名</t>
    </r>
  </si>
  <si>
    <r>
      <rPr>
        <sz val="10"/>
        <color rgb="FF000000"/>
        <rFont val="Noto Sans CJK SC"/>
        <family val="2"/>
      </rPr>
      <t xml:space="preserve">（若引用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文案）</t>
    </r>
  </si>
  <si>
    <r>
      <rPr>
        <sz val="10"/>
        <color rgb="FF000000"/>
        <rFont val="Arial"/>
        <family val="0"/>
        <charset val="1"/>
      </rPr>
      <t xml:space="preserve">“without passing through our servers”“250+ Enterprise Deployments”“Auto-Sync to CRM”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</si>
  <si>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营销说法未按型号核实；不以客户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部署数做背书</t>
    </r>
  </si>
  <si>
    <t xml:space="preserve">页面暂不采用，待确认</t>
  </si>
  <si>
    <t xml:space="preserve">类别</t>
  </si>
  <si>
    <r>
      <rPr>
        <b val="true"/>
        <sz val="10"/>
        <color rgb="FFFFFFFF"/>
        <rFont val="Noto Sans CJK SC"/>
        <family val="2"/>
      </rPr>
      <t xml:space="preserve">客户问题（</t>
    </r>
    <r>
      <rPr>
        <b val="true"/>
        <sz val="10"/>
        <color rgb="FFFFFFFF"/>
        <rFont val="Arial"/>
        <family val="0"/>
        <charset val="1"/>
      </rPr>
      <t xml:space="preserve">[Y] </t>
    </r>
    <r>
      <rPr>
        <b val="true"/>
        <sz val="10"/>
        <color rgb="FFFFFFFF"/>
        <rFont val="Noto Sans CJK SC"/>
        <family val="2"/>
      </rPr>
      <t xml:space="preserve">原文）</t>
    </r>
  </si>
  <si>
    <t xml:space="preserve">对应页面模块（①–⑦）</t>
  </si>
  <si>
    <t xml:space="preserve">官网目前能否回答</t>
  </si>
  <si>
    <r>
      <rPr>
        <b val="true"/>
        <sz val="10"/>
        <color rgb="FFFFFFFF"/>
        <rFont val="Noto Sans CJK SC"/>
        <family val="2"/>
      </rPr>
      <t xml:space="preserve">依据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缺口</t>
    </r>
  </si>
  <si>
    <t xml:space="preserve">Pricing and fees</t>
  </si>
  <si>
    <t xml:space="preserve">How much do the product, samples, and bulk orders cost?</t>
  </si>
  <si>
    <t xml:space="preserve">部分</t>
  </si>
  <si>
    <r>
      <rPr>
        <sz val="10"/>
        <color rgb="FF000000"/>
        <rFont val="Noto Sans CJK SC"/>
        <family val="2"/>
      </rPr>
      <t xml:space="preserve">可写“</t>
    </r>
    <r>
      <rPr>
        <sz val="10"/>
        <color rgb="FF000000"/>
        <rFont val="Arial"/>
        <family val="0"/>
        <charset val="1"/>
      </rPr>
      <t xml:space="preserve">Samples available; tiered pricing from 200 pcs”</t>
    </r>
    <r>
      <rPr>
        <sz val="10"/>
        <color rgb="FF000000"/>
        <rFont val="Noto Sans CJK SC"/>
        <family val="2"/>
      </rPr>
      <t xml:space="preserve">；具体价格不公开</t>
    </r>
  </si>
  <si>
    <t xml:space="preserve">Does the quote include AI backend, cloud services, and software development?</t>
  </si>
  <si>
    <t xml:space="preserve">⑥④</t>
  </si>
  <si>
    <t xml:space="preserve">否</t>
  </si>
  <si>
    <r>
      <rPr>
        <sz val="10"/>
        <color rgb="FF000000"/>
        <rFont val="Noto Sans CJK SC"/>
        <family val="2"/>
      </rPr>
      <t xml:space="preserve">需研发</t>
    </r>
    <r>
      <rPr>
        <sz val="10"/>
        <color rgb="FF000000"/>
        <rFont val="Arial"/>
        <family val="0"/>
        <charset val="1"/>
      </rPr>
      <t xml:space="preserve">/Trigg</t>
    </r>
    <r>
      <rPr>
        <sz val="10"/>
        <color rgb="FF000000"/>
        <rFont val="Noto Sans CJK SC"/>
        <family val="2"/>
      </rPr>
      <t xml:space="preserve">确认硬件报价与软件服务边界</t>
    </r>
  </si>
  <si>
    <t xml:space="preserve">Are there PayPal or bank-transfer fees?</t>
  </si>
  <si>
    <r>
      <rPr>
        <sz val="10"/>
        <color rgb="FF000000"/>
        <rFont val="Noto Sans CJK SC"/>
        <family val="2"/>
      </rPr>
      <t xml:space="preserve">需</t>
    </r>
    <r>
      <rPr>
        <sz val="10"/>
        <color rgb="FF000000"/>
        <rFont val="Arial"/>
        <family val="0"/>
        <charset val="1"/>
      </rPr>
      <t xml:space="preserve">Yuki</t>
    </r>
    <r>
      <rPr>
        <sz val="10"/>
        <color rgb="FF000000"/>
        <rFont val="Noto Sans CJK SC"/>
        <family val="2"/>
      </rPr>
      <t xml:space="preserve">确认付款方式与手续费</t>
    </r>
  </si>
  <si>
    <t xml:space="preserve">Can you provide or update the quotation or proforma invoice?</t>
  </si>
  <si>
    <t xml:space="preserve">是</t>
  </si>
  <si>
    <t xml:space="preserve">咨询入口→销售报价</t>
  </si>
  <si>
    <t xml:space="preserve">Samples, prototypes, and MOQ</t>
  </si>
  <si>
    <t xml:space="preserve">Can we purchase samples or build a prototype first?</t>
  </si>
  <si>
    <t xml:space="preserve">⑥①</t>
  </si>
  <si>
    <r>
      <rPr>
        <sz val="10"/>
        <color rgb="FF000000"/>
        <rFont val="Noto Sans CJK SC"/>
        <family val="2"/>
      </rPr>
      <t xml:space="preserve">“提供样品”已确认；各型号是否有样品待吴琼</t>
    </r>
    <r>
      <rPr>
        <sz val="10"/>
        <color rgb="FF000000"/>
        <rFont val="Arial"/>
        <family val="0"/>
        <charset val="1"/>
      </rPr>
      <t xml:space="preserve">/Yuki</t>
    </r>
  </si>
  <si>
    <t xml:space="preserve">What is the minimum order quantity?</t>
  </si>
  <si>
    <r>
      <rPr>
        <sz val="10"/>
        <color rgb="FF000000"/>
        <rFont val="Noto Sans CJK SC"/>
        <family val="2"/>
      </rPr>
      <t xml:space="preserve">阶梯价从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件起；各型号</t>
    </r>
    <r>
      <rPr>
        <sz val="10"/>
        <color rgb="FF000000"/>
        <rFont val="Arial"/>
        <family val="0"/>
        <charset val="1"/>
      </rPr>
      <t xml:space="preserve">MOQ</t>
    </r>
    <r>
      <rPr>
        <sz val="10"/>
        <color rgb="FF000000"/>
        <rFont val="Noto Sans CJK SC"/>
        <family val="2"/>
      </rPr>
      <t xml:space="preserve">未答</t>
    </r>
  </si>
  <si>
    <t xml:space="preserve">Can you support a small production run, such as fewer than 500 units?</t>
  </si>
  <si>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件起阶梯价可作依据，需</t>
    </r>
    <r>
      <rPr>
        <sz val="10"/>
        <color rgb="FF000000"/>
        <rFont val="Arial"/>
        <family val="0"/>
        <charset val="1"/>
      </rPr>
      <t xml:space="preserve">Yuki</t>
    </r>
    <r>
      <rPr>
        <sz val="10"/>
        <color rgb="FF000000"/>
        <rFont val="Noto Sans CJK SC"/>
        <family val="2"/>
      </rPr>
      <t xml:space="preserve">确认表述</t>
    </r>
  </si>
  <si>
    <t xml:space="preserve">How do we move from sample validation to mass production?</t>
  </si>
  <si>
    <t xml:space="preserve">可写流程（样品→评估→试产→量产）；各步交付与时间需确认</t>
  </si>
  <si>
    <t xml:space="preserve">Customization and branding</t>
  </si>
  <si>
    <t xml:space="preserve">Do you support OEM and ODM projects?</t>
  </si>
  <si>
    <r>
      <rPr>
        <sz val="10"/>
        <color rgb="FF000000"/>
        <rFont val="Arial"/>
        <family val="0"/>
        <charset val="1"/>
      </rPr>
      <t xml:space="preserve">[Y] White label/ODM</t>
    </r>
    <r>
      <rPr>
        <sz val="10"/>
        <color rgb="FF000000"/>
        <rFont val="Noto Sans CJK SC"/>
        <family val="2"/>
      </rPr>
      <t xml:space="preserve">需联系确认价格</t>
    </r>
  </si>
  <si>
    <t xml:space="preserve">Can you customize the logo, appearance, features, or packaging?</t>
  </si>
  <si>
    <r>
      <rPr>
        <sz val="10"/>
        <color rgb="FF000000"/>
        <rFont val="Noto Sans CJK SC"/>
        <family val="2"/>
      </rPr>
      <t xml:space="preserve">标准贴牌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改壳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改板需分别标需定制，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口径待答</t>
    </r>
  </si>
  <si>
    <t xml:space="preserve">Can the product be sold under the customer’s brand?</t>
  </si>
  <si>
    <t xml:space="preserve">White label</t>
  </si>
  <si>
    <t xml:space="preserve">Is regional or channel exclusivity available?</t>
  </si>
  <si>
    <r>
      <rPr>
        <sz val="10"/>
        <color rgb="FF000000"/>
        <rFont val="Noto Sans CJK SC"/>
        <family val="2"/>
      </rPr>
      <t xml:space="preserve">需</t>
    </r>
    <r>
      <rPr>
        <sz val="10"/>
        <color rgb="FF000000"/>
        <rFont val="Arial"/>
        <family val="0"/>
        <charset val="1"/>
      </rPr>
      <t xml:space="preserve">Trigg/Yuki</t>
    </r>
    <r>
      <rPr>
        <sz val="10"/>
        <color rgb="FF000000"/>
        <rFont val="Noto Sans CJK SC"/>
        <family val="2"/>
      </rPr>
      <t xml:space="preserve">定口径</t>
    </r>
  </si>
  <si>
    <t xml:space="preserve">Lead times and shipping</t>
  </si>
  <si>
    <t xml:space="preserve">How soon can samples or production orders be shipped?</t>
  </si>
  <si>
    <r>
      <rPr>
        <sz val="10"/>
        <color rgb="FF000000"/>
        <rFont val="Noto Sans CJK SC"/>
        <family val="2"/>
      </rPr>
      <t xml:space="preserve">样品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量产交期待</t>
    </r>
    <r>
      <rPr>
        <sz val="10"/>
        <color rgb="FF000000"/>
        <rFont val="Arial"/>
        <family val="0"/>
        <charset val="1"/>
      </rPr>
      <t xml:space="preserve">Yuki</t>
    </r>
  </si>
  <si>
    <t xml:space="preserve">How long does delivery to the US, Israel, or other markets take?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</si>
  <si>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Yuki</t>
    </r>
  </si>
  <si>
    <t xml:space="preserve">How much does shipping cost, and which carrier will be used?</t>
  </si>
  <si>
    <r>
      <rPr>
        <sz val="10"/>
        <color rgb="FF000000"/>
        <rFont val="Noto Sans CJK SC"/>
        <family val="2"/>
      </rPr>
      <t xml:space="preserve">报价单为</t>
    </r>
    <r>
      <rPr>
        <sz val="10"/>
        <color rgb="FF000000"/>
        <rFont val="Arial"/>
        <family val="0"/>
        <charset val="1"/>
      </rPr>
      <t xml:space="preserve">EXW</t>
    </r>
    <r>
      <rPr>
        <sz val="10"/>
        <color rgb="FF000000"/>
        <rFont val="Noto Sans CJK SC"/>
        <family val="2"/>
      </rPr>
      <t xml:space="preserve">深圳；运费与承运商待</t>
    </r>
    <r>
      <rPr>
        <sz val="10"/>
        <color rgb="FF000000"/>
        <rFont val="Arial"/>
        <family val="0"/>
        <charset val="1"/>
      </rPr>
      <t xml:space="preserve">Yuki</t>
    </r>
  </si>
  <si>
    <t xml:space="preserve">Is tracking information available?</t>
  </si>
  <si>
    <t xml:space="preserve">是（常规）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</si>
  <si>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Yuki</t>
    </r>
    <r>
      <rPr>
        <sz val="10"/>
        <color rgb="FF000000"/>
        <rFont val="Noto Sans CJK SC"/>
        <family val="2"/>
      </rPr>
      <t xml:space="preserve">确认表述</t>
    </r>
  </si>
  <si>
    <t xml:space="preserve">Technical capabilities and integration</t>
  </si>
  <si>
    <t xml:space="preserve">Do you provide an SDK, API, test app, and technical documentation?</t>
  </si>
  <si>
    <r>
      <rPr>
        <sz val="10"/>
        <color rgb="FF000000"/>
        <rFont val="Arial"/>
        <family val="0"/>
        <charset val="1"/>
      </rPr>
      <t xml:space="preserve">App SDK≠</t>
    </r>
    <r>
      <rPr>
        <sz val="10"/>
        <color rgb="FF000000"/>
        <rFont val="Noto Sans CJK SC"/>
        <family val="2"/>
      </rPr>
      <t xml:space="preserve">固件源码；范围与收费待吴胜宇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吴琼</t>
    </r>
    <r>
      <rPr>
        <sz val="10"/>
        <color rgb="FF000000"/>
        <rFont val="Arial"/>
        <family val="0"/>
        <charset val="1"/>
      </rPr>
      <t xml:space="preserve">/Yuki</t>
    </r>
  </si>
  <si>
    <t xml:space="preserve">Are firmware, cloud services, and the AI backend included?</t>
  </si>
  <si>
    <r>
      <rPr>
        <sz val="10"/>
        <color rgb="FF000000"/>
        <rFont val="Noto Sans CJK SC"/>
        <family val="2"/>
      </rPr>
      <t xml:space="preserve">待研发与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确认</t>
    </r>
  </si>
  <si>
    <t xml:space="preserve">Can the product integrate with the customer’s existing application or system?</t>
  </si>
  <si>
    <t xml:space="preserve">四条路径逐项标状态；目前多为待确认</t>
  </si>
  <si>
    <t xml:space="preserve">What are the specifications, compatibility requirements, and technical limitations?</t>
  </si>
  <si>
    <t xml:space="preserve">①③⑦</t>
  </si>
  <si>
    <r>
      <rPr>
        <sz val="10"/>
        <color rgb="FF000000"/>
        <rFont val="Noto Sans CJK SC"/>
        <family val="2"/>
      </rPr>
      <t xml:space="preserve">规格来自</t>
    </r>
    <r>
      <rPr>
        <sz val="10"/>
        <color rgb="FF000000"/>
        <rFont val="Arial"/>
        <family val="0"/>
        <charset val="1"/>
      </rPr>
      <t xml:space="preserve">[Q][C]</t>
    </r>
    <r>
      <rPr>
        <sz val="10"/>
        <color rgb="FF000000"/>
        <rFont val="Noto Sans CJK SC"/>
        <family val="2"/>
      </rPr>
      <t xml:space="preserve">；限制项需研发确认</t>
    </r>
  </si>
  <si>
    <t xml:space="preserve">Project process and next steps</t>
  </si>
  <si>
    <t xml:space="preserve">How do we start Phase 1 or a proof of concept?</t>
  </si>
  <si>
    <r>
      <rPr>
        <sz val="10"/>
        <color rgb="FF000000"/>
        <rFont val="Noto Sans CJK SC"/>
        <family val="2"/>
      </rPr>
      <t xml:space="preserve">样品入口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评估流程；需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确认流程表述</t>
    </r>
  </si>
  <si>
    <t xml:space="preserve">What information, documents, or payment are required?</t>
  </si>
  <si>
    <r>
      <rPr>
        <sz val="10"/>
        <color rgb="FF000000"/>
        <rFont val="Noto Sans CJK SC"/>
        <family val="2"/>
      </rPr>
      <t xml:space="preserve">样品表单字段：型号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配置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用途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平台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数量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目的地；付款方式待</t>
    </r>
    <r>
      <rPr>
        <sz val="10"/>
        <color rgb="FF000000"/>
        <rFont val="Arial"/>
        <family val="0"/>
        <charset val="1"/>
      </rPr>
      <t xml:space="preserve">Yuki</t>
    </r>
  </si>
  <si>
    <t xml:space="preserve">What is the process for the NDA, technical evaluation, samples, and production?</t>
  </si>
  <si>
    <r>
      <rPr>
        <sz val="10"/>
        <color rgb="FF000000"/>
        <rFont val="Arial"/>
        <family val="0"/>
        <charset val="1"/>
      </rPr>
      <t xml:space="preserve">NDA</t>
    </r>
    <r>
      <rPr>
        <sz val="10"/>
        <color rgb="FF000000"/>
        <rFont val="Noto Sans CJK SC"/>
        <family val="2"/>
      </rPr>
      <t xml:space="preserve">目录与条件待</t>
    </r>
    <r>
      <rPr>
        <sz val="10"/>
        <color rgb="FF000000"/>
        <rFont val="Arial"/>
        <family val="0"/>
        <charset val="1"/>
      </rPr>
      <t xml:space="preserve">Trigg</t>
    </r>
  </si>
  <si>
    <t xml:space="preserve">Who is responsible for each step, and what is the timeline?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</si>
  <si>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Trigg/Yuki</t>
    </r>
  </si>
  <si>
    <t xml:space="preserve">Product ownership and IP</t>
  </si>
  <si>
    <t xml:space="preserve">Is the product manufactured by GMIC or its factory?</t>
  </si>
  <si>
    <r>
      <rPr>
        <sz val="10"/>
        <color rgb="FF000000"/>
        <rFont val="Noto Sans CJK SC"/>
        <family val="2"/>
      </rPr>
      <t xml:space="preserve">需按型号写来源（</t>
    </r>
    <r>
      <rPr>
        <sz val="10"/>
        <color rgb="FF000000"/>
        <rFont val="Arial"/>
        <family val="0"/>
        <charset val="1"/>
      </rPr>
      <t xml:space="preserve">CS01</t>
    </r>
    <r>
      <rPr>
        <sz val="10"/>
        <color rgb="FF000000"/>
        <rFont val="Noto Sans CJK SC"/>
        <family val="2"/>
      </rPr>
      <t xml:space="preserve">供应商固件、</t>
    </r>
    <r>
      <rPr>
        <sz val="10"/>
        <color rgb="FF000000"/>
        <rFont val="Arial"/>
        <family val="0"/>
        <charset val="1"/>
      </rPr>
      <t xml:space="preserve">CS03</t>
    </r>
    <r>
      <rPr>
        <sz val="10"/>
        <color rgb="FF000000"/>
        <rFont val="Noto Sans CJK SC"/>
        <family val="2"/>
      </rPr>
      <t xml:space="preserve">外购等），待吴琼确认</t>
    </r>
  </si>
  <si>
    <t xml:space="preserve">Is the same product already being sold to other customers?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</si>
  <si>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</t>
    </r>
    <r>
      <rPr>
        <sz val="10"/>
        <color rgb="FF000000"/>
        <rFont val="Noto Sans CJK SC"/>
        <family val="2"/>
      </rPr>
      <t xml:space="preserve">定口径</t>
    </r>
  </si>
  <si>
    <t xml:space="preserve">Who owns the customized design, software, and related IP?</t>
  </si>
  <si>
    <r>
      <rPr>
        <sz val="10"/>
        <color rgb="FF000000"/>
        <rFont val="Noto Sans CJK SC"/>
        <family val="2"/>
      </rPr>
      <t xml:space="preserve">待</t>
    </r>
    <r>
      <rPr>
        <sz val="10"/>
        <color rgb="FF000000"/>
        <rFont val="Arial"/>
        <family val="0"/>
        <charset val="1"/>
      </rPr>
      <t xml:space="preserve">Trigg/</t>
    </r>
    <r>
      <rPr>
        <sz val="10"/>
        <color rgb="FF000000"/>
        <rFont val="Noto Sans CJK SC"/>
        <family val="2"/>
      </rPr>
      <t xml:space="preserve">吴琼</t>
    </r>
  </si>
  <si>
    <r>
      <rPr>
        <sz val="10"/>
        <color rgb="FF000000"/>
        <rFont val="Noto Sans CJK SC"/>
        <family val="2"/>
      </rPr>
      <t xml:space="preserve">总结（</t>
    </r>
    <r>
      <rPr>
        <sz val="10"/>
        <color rgb="FF000000"/>
        <rFont val="Arial"/>
        <family val="0"/>
        <charset val="1"/>
      </rPr>
      <t xml:space="preserve">[Y]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</si>
  <si>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客户主要关心完整商业化流程：</t>
    </r>
    <r>
      <rPr>
        <sz val="10"/>
        <color rgb="FF000000"/>
        <rFont val="Arial"/>
        <family val="0"/>
        <charset val="1"/>
      </rPr>
      <t xml:space="preserve">Pricing → Samples → Customization → Technical validation → Delivery → Mass production</t>
    </r>
  </si>
  <si>
    <t xml:space="preserve">页面⑥区块与选型页按此顺序组织</t>
  </si>
  <si>
    <t xml:space="preserve">日期</t>
  </si>
  <si>
    <t xml:space="preserve">修改人</t>
  </si>
  <si>
    <t xml:space="preserve">修改内容</t>
  </si>
  <si>
    <t xml:space="preserve">v0.1</t>
  </si>
  <si>
    <t xml:space="preserve">2026-10-21</t>
  </si>
  <si>
    <t xml:space="preserve">Meng</t>
  </si>
  <si>
    <r>
      <rPr>
        <sz val="10"/>
        <color rgb="FF000000"/>
        <rFont val="Noto Sans CJK SC"/>
        <family val="2"/>
      </rPr>
      <t xml:space="preserve">初稿：按</t>
    </r>
    <r>
      <rPr>
        <sz val="10"/>
        <color rgb="FF000000"/>
        <rFont val="Arial"/>
        <family val="0"/>
        <charset val="1"/>
      </rPr>
      <t xml:space="preserve">[Q][T][W]</t>
    </r>
    <r>
      <rPr>
        <sz val="10"/>
        <color rgb="FF000000"/>
        <rFont val="Noto Sans CJK SC"/>
        <family val="2"/>
      </rPr>
      <t xml:space="preserve">填入</t>
    </r>
    <r>
      <rPr>
        <sz val="10"/>
        <color rgb="FF000000"/>
        <rFont val="Arial"/>
        <family val="0"/>
        <charset val="1"/>
      </rPr>
      <t xml:space="preserve">P0/P1/P2</t>
    </r>
    <r>
      <rPr>
        <sz val="10"/>
        <color rgb="FF000000"/>
        <rFont val="Noto Sans CJK SC"/>
        <family val="2"/>
      </rPr>
      <t xml:space="preserve">共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行；空白标“待确认”；缺口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项；风险文案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处</t>
    </r>
  </si>
  <si>
    <t xml:space="preserve">v0.4</t>
  </si>
  <si>
    <t xml:space="preserve">2026-10-28</t>
  </si>
  <si>
    <r>
      <rPr>
        <sz val="10"/>
        <color rgb="FF000000"/>
        <rFont val="Noto Sans CJK SC"/>
        <family val="2"/>
      </rPr>
      <t xml:space="preserve">新增来源</t>
    </r>
    <r>
      <rPr>
        <sz val="10"/>
        <color rgb="FF000000"/>
        <rFont val="Arial"/>
        <family val="0"/>
        <charset val="1"/>
      </rPr>
      <t xml:space="preserve">[Y]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Yuki</t>
    </r>
    <r>
      <rPr>
        <sz val="10"/>
        <color rgb="FF000000"/>
        <rFont val="Noto Sans CJK SC"/>
        <family val="2"/>
      </rPr>
      <t xml:space="preserve">微信回复）：官网价格公开口径；新增“客户常见问题”页（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条，标注对应页面模块与能否回答）；</t>
    </r>
    <r>
      <rPr>
        <sz val="10"/>
        <color rgb="FF000000"/>
        <rFont val="Arial"/>
        <family val="0"/>
        <charset val="1"/>
      </rPr>
      <t xml:space="preserve">Yuki</t>
    </r>
    <r>
      <rPr>
        <sz val="10"/>
        <color rgb="FF000000"/>
        <rFont val="Noto Sans CJK SC"/>
        <family val="2"/>
      </rPr>
      <t xml:space="preserve">相关缺口改为部分回复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未答；新增</t>
    </r>
    <r>
      <rPr>
        <sz val="10"/>
        <color rgb="FF000000"/>
        <rFont val="Arial"/>
        <family val="0"/>
        <charset val="1"/>
      </rPr>
      <t xml:space="preserve">NRE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收费缺口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项</t>
    </r>
  </si>
  <si>
    <t xml:space="preserve">v0.3</t>
  </si>
  <si>
    <t xml:space="preserve">2026-10-23</t>
  </si>
  <si>
    <r>
      <rPr>
        <sz val="10"/>
        <color rgb="FF000000"/>
        <rFont val="Noto Sans CJK SC"/>
        <family val="2"/>
      </rPr>
      <t xml:space="preserve">缺口页更新请求状态（黄俊鹏</t>
    </r>
    <r>
      <rPr>
        <sz val="10"/>
        <color rgb="FF000000"/>
        <rFont val="Arial"/>
        <family val="0"/>
        <charset val="1"/>
      </rPr>
      <t xml:space="preserve">/Yuki</t>
    </r>
    <r>
      <rPr>
        <sz val="10"/>
        <color rgb="FF000000"/>
        <rFont val="Noto Sans CJK SC"/>
        <family val="2"/>
      </rPr>
      <t xml:space="preserve">已回复待核对，吴胜宇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吴琼已发出未回复，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病假阻塞）；新增来源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（公司</t>
    </r>
    <r>
      <rPr>
        <sz val="10"/>
        <color rgb="FF000000"/>
        <rFont val="Arial"/>
        <family val="0"/>
        <charset val="1"/>
      </rPr>
      <t xml:space="preserve">Catalog 10-21</t>
    </r>
    <r>
      <rPr>
        <sz val="10"/>
        <color rgb="FF000000"/>
        <rFont val="Noto Sans CJK SC"/>
        <family val="2"/>
      </rPr>
      <t xml:space="preserve">）：全表产品名改为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官方型号名（去掉</t>
    </r>
    <r>
      <rPr>
        <sz val="10"/>
        <color rgb="FF000000"/>
        <rFont val="Arial"/>
        <family val="0"/>
        <charset val="1"/>
      </rPr>
      <t xml:space="preserve">Hearit.ai</t>
    </r>
    <r>
      <rPr>
        <sz val="10"/>
        <color rgb="FF000000"/>
        <rFont val="Noto Sans CJK SC"/>
        <family val="2"/>
      </rPr>
      <t xml:space="preserve">前缀，公司品牌为</t>
    </r>
    <r>
      <rPr>
        <sz val="10"/>
        <color rgb="FF000000"/>
        <rFont val="Arial"/>
        <family val="0"/>
        <charset val="1"/>
      </rPr>
      <t xml:space="preserve">GMIC 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CS03</t>
    </r>
    <r>
      <rPr>
        <sz val="10"/>
        <color rgb="FF000000"/>
        <rFont val="Noto Sans CJK SC"/>
        <family val="2"/>
      </rPr>
      <t xml:space="preserve">厚度按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确认</t>
    </r>
    <r>
      <rPr>
        <sz val="10"/>
        <color rgb="FF000000"/>
        <rFont val="Arial"/>
        <family val="0"/>
        <charset val="1"/>
      </rPr>
      <t xml:space="preserve">3.7mm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CS02</t>
    </r>
    <r>
      <rPr>
        <sz val="10"/>
        <color rgb="FF000000"/>
        <rFont val="Noto Sans CJK SC"/>
        <family val="2"/>
      </rPr>
      <t xml:space="preserve">补</t>
    </r>
    <r>
      <rPr>
        <sz val="10"/>
        <color rgb="FF000000"/>
        <rFont val="Arial"/>
        <family val="0"/>
        <charset val="1"/>
      </rPr>
      <t xml:space="preserve">[C]“CardRec PCBA”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SR01</t>
    </r>
    <r>
      <rPr>
        <sz val="10"/>
        <color rgb="FF000000"/>
        <rFont val="Noto Sans CJK SC"/>
        <family val="2"/>
      </rPr>
      <t xml:space="preserve">记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冲突；缺口新增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项；风险新增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项（</t>
    </r>
    <r>
      <rPr>
        <sz val="10"/>
        <color rgb="FF000000"/>
        <rFont val="Arial"/>
        <family val="0"/>
        <charset val="1"/>
      </rPr>
      <t xml:space="preserve">Hearit.ai</t>
    </r>
    <r>
      <rPr>
        <sz val="10"/>
        <color rgb="FF000000"/>
        <rFont val="Noto Sans CJK SC"/>
        <family val="2"/>
      </rPr>
      <t xml:space="preserve">品牌名、页面名与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不符、</t>
    </r>
    <r>
      <rPr>
        <sz val="10"/>
        <color rgb="FF000000"/>
        <rFont val="Arial"/>
        <family val="0"/>
        <charset val="1"/>
      </rPr>
      <t xml:space="preserve">[C]</t>
    </r>
    <r>
      <rPr>
        <sz val="10"/>
        <color rgb="FF000000"/>
        <rFont val="Noto Sans CJK SC"/>
        <family val="2"/>
      </rPr>
      <t xml:space="preserve">营销说法）</t>
    </r>
  </si>
  <si>
    <t xml:space="preserve">v0.2</t>
  </si>
  <si>
    <r>
      <rPr>
        <sz val="10"/>
        <color rgb="FF000000"/>
        <rFont val="Noto Sans CJK SC"/>
        <family val="2"/>
      </rPr>
      <t xml:space="preserve">按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原图重核规格：</t>
    </r>
    <r>
      <rPr>
        <sz val="10"/>
        <color rgb="FF000000"/>
        <rFont val="Arial"/>
        <family val="0"/>
        <charset val="1"/>
      </rPr>
      <t xml:space="preserve">MIC05C</t>
    </r>
    <r>
      <rPr>
        <sz val="10"/>
        <color rgb="FF000000"/>
        <rFont val="Noto Sans CJK SC"/>
        <family val="2"/>
      </rPr>
      <t xml:space="preserve">补固件加密、</t>
    </r>
    <r>
      <rPr>
        <sz val="10"/>
        <color rgb="FF000000"/>
        <rFont val="Arial"/>
        <family val="0"/>
        <charset val="1"/>
      </rPr>
      <t xml:space="preserve">ESP32</t>
    </r>
    <r>
      <rPr>
        <sz val="10"/>
        <color rgb="FF000000"/>
        <rFont val="Noto Sans CJK SC"/>
        <family val="2"/>
      </rPr>
      <t xml:space="preserve">补可控</t>
    </r>
    <r>
      <rPr>
        <sz val="10"/>
        <color rgb="FF000000"/>
        <rFont val="Arial"/>
        <family val="0"/>
        <charset val="1"/>
      </rPr>
      <t xml:space="preserve">5V</t>
    </r>
    <r>
      <rPr>
        <sz val="10"/>
        <color rgb="FF000000"/>
        <rFont val="Noto Sans CJK SC"/>
        <family val="2"/>
      </rPr>
      <t xml:space="preserve">电机、</t>
    </r>
    <r>
      <rPr>
        <sz val="10"/>
        <color rgb="FF000000"/>
        <rFont val="Arial"/>
        <family val="0"/>
        <charset val="1"/>
      </rPr>
      <t xml:space="preserve">CS02</t>
    </r>
    <r>
      <rPr>
        <sz val="10"/>
        <color rgb="FF000000"/>
        <rFont val="Noto Sans CJK SC"/>
        <family val="2"/>
      </rPr>
      <t xml:space="preserve">型号改为</t>
    </r>
    <r>
      <rPr>
        <sz val="10"/>
        <color rgb="FF000000"/>
        <rFont val="Arial"/>
        <family val="0"/>
        <charset val="1"/>
      </rPr>
      <t xml:space="preserve">HA-CS02_PCBA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CS03</t>
    </r>
    <r>
      <rPr>
        <sz val="10"/>
        <color rgb="FF000000"/>
        <rFont val="Noto Sans CJK SC"/>
        <family val="2"/>
      </rPr>
      <t xml:space="preserve">厚度标待确认；</t>
    </r>
    <r>
      <rPr>
        <sz val="10"/>
        <color rgb="FF000000"/>
        <rFont val="Arial"/>
        <family val="0"/>
        <charset val="1"/>
      </rPr>
      <t xml:space="preserve">ESP32/</t>
    </r>
    <r>
      <rPr>
        <sz val="10"/>
        <color rgb="FF000000"/>
        <rFont val="Noto Sans CJK SC"/>
        <family val="2"/>
      </rPr>
      <t xml:space="preserve">阵列路径中“不适用”改回“待确认”；新增“其他</t>
    </r>
    <r>
      <rPr>
        <sz val="10"/>
        <color rgb="FF000000"/>
        <rFont val="Arial"/>
        <family val="0"/>
        <charset val="1"/>
      </rPr>
      <t xml:space="preserve">SKU·</t>
    </r>
    <r>
      <rPr>
        <sz val="10"/>
        <color rgb="FF000000"/>
        <rFont val="Noto Sans CJK SC"/>
        <family val="2"/>
      </rPr>
      <t xml:space="preserve">本轮顺延”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行（</t>
    </r>
    <r>
      <rPr>
        <sz val="10"/>
        <color rgb="FF000000"/>
        <rFont val="Arial"/>
        <family val="0"/>
        <charset val="1"/>
      </rPr>
      <t xml:space="preserve">[Q]</t>
    </r>
    <r>
      <rPr>
        <sz val="10"/>
        <color rgb="FF000000"/>
        <rFont val="Noto Sans CJK SC"/>
        <family val="2"/>
      </rPr>
      <t xml:space="preserve">参数、</t>
    </r>
    <r>
      <rPr>
        <sz val="10"/>
        <color rgb="FF000000"/>
        <rFont val="Arial"/>
        <family val="0"/>
        <charset val="1"/>
      </rPr>
      <t xml:space="preserve">1000pcs</t>
    </r>
    <r>
      <rPr>
        <sz val="10"/>
        <color rgb="FF000000"/>
        <rFont val="Noto Sans CJK SC"/>
        <family val="2"/>
      </rPr>
      <t xml:space="preserve">价与</t>
    </r>
    <r>
      <rPr>
        <sz val="10"/>
        <color rgb="FF000000"/>
        <rFont val="Arial"/>
        <family val="0"/>
        <charset val="1"/>
      </rPr>
      <t xml:space="preserve">[W]</t>
    </r>
    <r>
      <rPr>
        <sz val="10"/>
        <color rgb="FF000000"/>
        <rFont val="Noto Sans CJK SC"/>
        <family val="2"/>
      </rPr>
      <t xml:space="preserve">现状）；缺口新增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项；统计改为仅计本轮页面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</si>
</sst>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US$&quot;#,##0"/>
    <numFmt numFmtId="167" formatCode="&quot;US$&quot;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1F2A44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D1FADF"/>
        <bgColor rgb="FFDCEBFF"/>
      </patternFill>
    </fill>
    <fill>
      <patternFill patternType="solid">
        <fgColor rgb="FFDCEBFF"/>
        <bgColor rgb="FFE8EEF9"/>
      </patternFill>
    </fill>
    <fill>
      <patternFill patternType="solid">
        <fgColor rgb="FFFEF0C7"/>
        <bgColor rgb="FFFFF7CC"/>
      </patternFill>
    </fill>
    <fill>
      <patternFill patternType="solid">
        <fgColor rgb="FFFEE4E2"/>
        <bgColor rgb="FFFEF0C7"/>
      </patternFill>
    </fill>
    <fill>
      <patternFill patternType="solid">
        <fgColor rgb="FFF2F4F7"/>
        <bgColor rgb="FFE8EEF9"/>
      </patternFill>
    </fill>
    <fill>
      <patternFill patternType="solid">
        <fgColor rgb="FF1F2A44"/>
        <bgColor rgb="FF003366"/>
      </patternFill>
    </fill>
    <fill>
      <patternFill patternType="solid">
        <fgColor rgb="FFE8EEF9"/>
        <bgColor rgb="FFF2F4F7"/>
      </patternFill>
    </fill>
    <fill>
      <patternFill patternType="solid">
        <fgColor rgb="FFFFF7CC"/>
        <bgColor rgb="FFFEF0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EE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DCEBFF"/>
          <bgColor rgb="FF000000"/>
        </patternFill>
      </fill>
    </dxf>
    <dxf>
      <fill>
        <patternFill>
          <bgColor rgb="FFD1FADF"/>
        </patternFill>
      </fill>
    </dxf>
    <dxf>
      <fill>
        <patternFill>
          <bgColor rgb="FFDCEBFF"/>
        </patternFill>
      </fill>
    </dxf>
    <dxf>
      <fill>
        <patternFill>
          <bgColor rgb="FFFEF0C7"/>
        </patternFill>
      </fill>
    </dxf>
    <dxf>
      <fill>
        <patternFill>
          <bgColor rgb="FFFEE4E2"/>
        </patternFill>
      </fill>
    </dxf>
    <dxf>
      <fill>
        <patternFill>
          <bgColor rgb="FFF2F4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7CC"/>
      <rgbColor rgb="FFDCEB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9"/>
      <rgbColor rgb="FFD1FADF"/>
      <rgbColor rgb="FFFEF0C7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">
        <v>2</v>
      </c>
    </row>
    <row r="3" customFormat="false" ht="17.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/>
      <c r="B4" s="3"/>
    </row>
    <row r="5" customFormat="false" ht="15" hidden="false" customHeight="false" outlineLevel="0" collapsed="false">
      <c r="A5" s="5" t="s">
        <v>5</v>
      </c>
      <c r="B5" s="3"/>
    </row>
    <row r="6" customFormat="false" ht="17.15" hidden="false" customHeight="false" outlineLevel="0" collapsed="false">
      <c r="A6" s="6" t="s">
        <v>6</v>
      </c>
      <c r="B6" s="3" t="s">
        <v>7</v>
      </c>
    </row>
    <row r="7" customFormat="false" ht="17.15" hidden="false" customHeight="false" outlineLevel="0" collapsed="false">
      <c r="A7" s="6" t="s">
        <v>8</v>
      </c>
      <c r="B7" s="3" t="s">
        <v>9</v>
      </c>
    </row>
    <row r="8" customFormat="false" ht="17.15" hidden="false" customHeight="false" outlineLevel="0" collapsed="false">
      <c r="A8" s="6" t="s">
        <v>10</v>
      </c>
      <c r="B8" s="4" t="s">
        <v>11</v>
      </c>
    </row>
    <row r="9" customFormat="false" ht="32.8" hidden="false" customHeight="false" outlineLevel="0" collapsed="false">
      <c r="A9" s="6" t="s">
        <v>12</v>
      </c>
      <c r="B9" s="3" t="s">
        <v>13</v>
      </c>
    </row>
    <row r="10" customFormat="false" ht="17.15" hidden="false" customHeight="false" outlineLevel="0" collapsed="false">
      <c r="A10" s="6" t="s">
        <v>14</v>
      </c>
      <c r="B10" s="3" t="s">
        <v>15</v>
      </c>
    </row>
    <row r="11" customFormat="false" ht="32.8" hidden="false" customHeight="false" outlineLevel="0" collapsed="false">
      <c r="A11" s="2" t="s">
        <v>16</v>
      </c>
      <c r="B11" s="4" t="s">
        <v>17</v>
      </c>
    </row>
    <row r="12" customFormat="false" ht="15" hidden="false" customHeight="false" outlineLevel="0" collapsed="false">
      <c r="A12" s="2"/>
      <c r="B12" s="3"/>
    </row>
    <row r="13" customFormat="false" ht="17.15" hidden="false" customHeight="false" outlineLevel="0" collapsed="false">
      <c r="A13" s="5" t="s">
        <v>18</v>
      </c>
      <c r="B13" s="3"/>
    </row>
    <row r="14" customFormat="false" ht="17.15" hidden="false" customHeight="false" outlineLevel="0" collapsed="false">
      <c r="A14" s="7" t="s">
        <v>19</v>
      </c>
      <c r="B14" s="4" t="s">
        <v>20</v>
      </c>
    </row>
    <row r="15" customFormat="false" ht="17.15" hidden="false" customHeight="false" outlineLevel="0" collapsed="false">
      <c r="A15" s="8" t="s">
        <v>21</v>
      </c>
      <c r="B15" s="4" t="s">
        <v>22</v>
      </c>
    </row>
    <row r="16" customFormat="false" ht="17.15" hidden="false" customHeight="false" outlineLevel="0" collapsed="false">
      <c r="A16" s="9" t="s">
        <v>23</v>
      </c>
      <c r="B16" s="4" t="s">
        <v>24</v>
      </c>
    </row>
    <row r="17" customFormat="false" ht="17.15" hidden="false" customHeight="false" outlineLevel="0" collapsed="false">
      <c r="A17" s="10" t="s">
        <v>25</v>
      </c>
      <c r="B17" s="4" t="s">
        <v>26</v>
      </c>
    </row>
    <row r="18" customFormat="false" ht="17.15" hidden="false" customHeight="false" outlineLevel="0" collapsed="false">
      <c r="A18" s="11" t="s">
        <v>27</v>
      </c>
      <c r="B18" s="4" t="s">
        <v>28</v>
      </c>
    </row>
    <row r="19" customFormat="false" ht="15" hidden="false" customHeight="false" outlineLevel="0" collapsed="false">
      <c r="A19" s="2"/>
      <c r="B19" s="3"/>
    </row>
    <row r="20" customFormat="false" ht="15" hidden="false" customHeight="false" outlineLevel="0" collapsed="false">
      <c r="A20" s="5" t="s">
        <v>29</v>
      </c>
      <c r="B20" s="3"/>
    </row>
    <row r="21" customFormat="false" ht="17.15" hidden="false" customHeight="false" outlineLevel="0" collapsed="false">
      <c r="A21" s="6" t="s">
        <v>30</v>
      </c>
      <c r="B21" s="4" t="s">
        <v>31</v>
      </c>
    </row>
    <row r="22" customFormat="false" ht="17.15" hidden="false" customHeight="false" outlineLevel="0" collapsed="false">
      <c r="A22" s="6" t="s">
        <v>32</v>
      </c>
      <c r="B22" s="4" t="s">
        <v>33</v>
      </c>
    </row>
    <row r="23" customFormat="false" ht="17.15" hidden="false" customHeight="false" outlineLevel="0" collapsed="false">
      <c r="A23" s="6" t="s">
        <v>34</v>
      </c>
      <c r="B23" s="4" t="s">
        <v>35</v>
      </c>
    </row>
    <row r="24" customFormat="false" ht="17.15" hidden="false" customHeight="false" outlineLevel="0" collapsed="false">
      <c r="A24" s="6" t="s">
        <v>36</v>
      </c>
      <c r="B24" s="4" t="s">
        <v>37</v>
      </c>
    </row>
    <row r="25" customFormat="false" ht="15" hidden="false" customHeight="false" outlineLevel="0" collapsed="false">
      <c r="A25" s="2"/>
      <c r="B25" s="3"/>
    </row>
    <row r="26" customFormat="false" ht="15" hidden="false" customHeight="false" outlineLevel="0" collapsed="false">
      <c r="A26" s="5" t="s">
        <v>38</v>
      </c>
      <c r="B26" s="3"/>
    </row>
    <row r="27" customFormat="false" ht="15" hidden="false" customHeight="false" outlineLevel="0" collapsed="false">
      <c r="A27" s="12" t="s">
        <v>39</v>
      </c>
      <c r="B27" s="13" t="n">
        <f aca="false">COUNTIF(SKU总表!M2:P17,"标准")</f>
        <v>0</v>
      </c>
    </row>
    <row r="28" customFormat="false" ht="15" hidden="false" customHeight="false" outlineLevel="0" collapsed="false">
      <c r="A28" s="12" t="s">
        <v>40</v>
      </c>
      <c r="B28" s="13" t="n">
        <f aca="false">COUNTIF(SKU总表!M2:P17,"需定制")</f>
        <v>1</v>
      </c>
    </row>
    <row r="29" customFormat="false" ht="15" hidden="false" customHeight="false" outlineLevel="0" collapsed="false">
      <c r="A29" s="12" t="s">
        <v>41</v>
      </c>
      <c r="B29" s="13" t="n">
        <f aca="false">COUNTIF(SKU总表!M2:P17,"待验证")</f>
        <v>9</v>
      </c>
    </row>
    <row r="30" customFormat="false" ht="15" hidden="false" customHeight="false" outlineLevel="0" collapsed="false">
      <c r="A30" s="12" t="s">
        <v>42</v>
      </c>
      <c r="B30" s="13" t="n">
        <f aca="false">COUNTIF(SKU总表!M2:P17,"不支持")</f>
        <v>0</v>
      </c>
    </row>
    <row r="31" customFormat="false" ht="15" hidden="false" customHeight="false" outlineLevel="0" collapsed="false">
      <c r="A31" s="12" t="s">
        <v>43</v>
      </c>
      <c r="B31" s="13" t="n">
        <f aca="false">COUNTIF(SKU总表!M2:P17,"待确认")</f>
        <v>34</v>
      </c>
    </row>
    <row r="32" customFormat="false" ht="15" hidden="false" customHeight="false" outlineLevel="0" collapsed="false">
      <c r="A32" s="12" t="s">
        <v>44</v>
      </c>
      <c r="B32" s="13" t="n">
        <f aca="false">COUNTIF(SKU总表!A2:AF17,"待确认")</f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38"/>
    <col collapsed="false" customWidth="true" hidden="false" outlineLevel="0" max="16" min="13" style="0" width="12"/>
    <col collapsed="false" customWidth="true" hidden="false" outlineLevel="0" max="17" min="17" style="0" width="36"/>
    <col collapsed="false" customWidth="true" hidden="false" outlineLevel="0" max="22" min="18" style="0" width="12"/>
    <col collapsed="false" customWidth="true" hidden="false" outlineLevel="0" max="24" min="23" style="0" width="16"/>
    <col collapsed="false" customWidth="true" hidden="false" outlineLevel="0" max="27" min="25" style="0" width="12"/>
    <col collapsed="false" customWidth="true" hidden="false" outlineLevel="0" max="28" min="28" style="0" width="18"/>
    <col collapsed="false" customWidth="true" hidden="false" outlineLevel="0" max="29" min="29" style="0" width="32"/>
    <col collapsed="false" customWidth="true" hidden="false" outlineLevel="0" max="30" min="30" style="0" width="24"/>
    <col collapsed="false" customWidth="true" hidden="false" outlineLevel="0" max="32" min="31" style="0" width="12"/>
  </cols>
  <sheetData>
    <row r="1" customFormat="false" ht="42" hidden="false" customHeight="true" outlineLevel="0" collapsed="false">
      <c r="A1" s="14" t="s">
        <v>45</v>
      </c>
      <c r="B1" s="14" t="s">
        <v>46</v>
      </c>
      <c r="C1" s="15" t="s">
        <v>47</v>
      </c>
      <c r="D1" s="14" t="s">
        <v>48</v>
      </c>
      <c r="E1" s="14" t="s">
        <v>49</v>
      </c>
      <c r="F1" s="14" t="s">
        <v>50</v>
      </c>
      <c r="G1" s="14" t="s">
        <v>51</v>
      </c>
      <c r="H1" s="14" t="s">
        <v>52</v>
      </c>
      <c r="I1" s="14" t="s">
        <v>53</v>
      </c>
      <c r="J1" s="14" t="s">
        <v>54</v>
      </c>
      <c r="K1" s="14" t="s">
        <v>55</v>
      </c>
      <c r="L1" s="14" t="s">
        <v>56</v>
      </c>
      <c r="M1" s="14" t="s">
        <v>57</v>
      </c>
      <c r="N1" s="14" t="s">
        <v>58</v>
      </c>
      <c r="O1" s="15" t="s">
        <v>59</v>
      </c>
      <c r="P1" s="14" t="s">
        <v>60</v>
      </c>
      <c r="Q1" s="14" t="s">
        <v>61</v>
      </c>
      <c r="R1" s="14" t="s">
        <v>62</v>
      </c>
      <c r="S1" s="14" t="s">
        <v>63</v>
      </c>
      <c r="T1" s="14" t="s">
        <v>64</v>
      </c>
      <c r="U1" s="14" t="s">
        <v>65</v>
      </c>
      <c r="V1" s="14" t="s">
        <v>66</v>
      </c>
      <c r="W1" s="14" t="s">
        <v>67</v>
      </c>
      <c r="X1" s="15" t="s">
        <v>68</v>
      </c>
      <c r="Y1" s="14" t="s">
        <v>69</v>
      </c>
      <c r="Z1" s="15" t="s">
        <v>70</v>
      </c>
      <c r="AA1" s="15" t="s">
        <v>71</v>
      </c>
      <c r="AB1" s="15" t="s">
        <v>72</v>
      </c>
      <c r="AC1" s="14" t="s">
        <v>73</v>
      </c>
      <c r="AD1" s="14" t="s">
        <v>74</v>
      </c>
      <c r="AE1" s="14" t="s">
        <v>75</v>
      </c>
      <c r="AF1" s="14" t="s">
        <v>76</v>
      </c>
    </row>
    <row r="2" customFormat="false" ht="17.15" hidden="false" customHeight="false" outlineLevel="0" collapsed="false">
      <c r="A2" s="16" t="s">
        <v>77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customFormat="false" ht="72.35" hidden="false" customHeight="false" outlineLevel="0" collapsed="false">
      <c r="A3" s="17" t="s">
        <v>78</v>
      </c>
      <c r="B3" s="18" t="s">
        <v>79</v>
      </c>
      <c r="C3" s="17" t="s">
        <v>80</v>
      </c>
      <c r="D3" s="17" t="s">
        <v>81</v>
      </c>
      <c r="E3" s="18" t="s">
        <v>82</v>
      </c>
      <c r="F3" s="19" t="s">
        <v>27</v>
      </c>
      <c r="G3" s="19" t="s">
        <v>27</v>
      </c>
      <c r="H3" s="19" t="s">
        <v>27</v>
      </c>
      <c r="I3" s="18" t="s">
        <v>83</v>
      </c>
      <c r="J3" s="17" t="s">
        <v>84</v>
      </c>
      <c r="K3" s="18" t="s">
        <v>85</v>
      </c>
      <c r="L3" s="17" t="s">
        <v>86</v>
      </c>
      <c r="M3" s="18" t="s">
        <v>23</v>
      </c>
      <c r="N3" s="19" t="s">
        <v>27</v>
      </c>
      <c r="O3" s="18" t="s">
        <v>23</v>
      </c>
      <c r="P3" s="19" t="s">
        <v>27</v>
      </c>
      <c r="Q3" s="17" t="s">
        <v>87</v>
      </c>
      <c r="R3" s="19" t="s">
        <v>27</v>
      </c>
      <c r="S3" s="19" t="s">
        <v>27</v>
      </c>
      <c r="T3" s="19" t="s">
        <v>27</v>
      </c>
      <c r="U3" s="19" t="s">
        <v>27</v>
      </c>
      <c r="V3" s="19" t="s">
        <v>27</v>
      </c>
      <c r="W3" s="18" t="s">
        <v>88</v>
      </c>
      <c r="X3" s="18" t="s">
        <v>89</v>
      </c>
      <c r="Y3" s="20" t="n">
        <v>105</v>
      </c>
      <c r="Z3" s="20" t="n">
        <v>84</v>
      </c>
      <c r="AA3" s="19" t="s">
        <v>27</v>
      </c>
      <c r="AB3" s="19" t="s">
        <v>27</v>
      </c>
      <c r="AC3" s="17" t="s">
        <v>90</v>
      </c>
      <c r="AD3" s="18" t="s">
        <v>91</v>
      </c>
      <c r="AE3" s="17" t="s">
        <v>92</v>
      </c>
      <c r="AF3" s="17"/>
    </row>
    <row r="4" customFormat="false" ht="86.55" hidden="false" customHeight="false" outlineLevel="0" collapsed="false">
      <c r="A4" s="17" t="s">
        <v>93</v>
      </c>
      <c r="B4" s="18" t="s">
        <v>94</v>
      </c>
      <c r="C4" s="17" t="s">
        <v>95</v>
      </c>
      <c r="D4" s="17" t="s">
        <v>96</v>
      </c>
      <c r="E4" s="17" t="s">
        <v>97</v>
      </c>
      <c r="F4" s="19" t="s">
        <v>27</v>
      </c>
      <c r="G4" s="19" t="s">
        <v>27</v>
      </c>
      <c r="H4" s="19" t="s">
        <v>27</v>
      </c>
      <c r="I4" s="18" t="s">
        <v>98</v>
      </c>
      <c r="J4" s="17" t="s">
        <v>99</v>
      </c>
      <c r="K4" s="19" t="s">
        <v>27</v>
      </c>
      <c r="L4" s="17" t="s">
        <v>100</v>
      </c>
      <c r="M4" s="19" t="s">
        <v>27</v>
      </c>
      <c r="N4" s="19" t="s">
        <v>27</v>
      </c>
      <c r="O4" s="19" t="s">
        <v>27</v>
      </c>
      <c r="P4" s="19" t="s">
        <v>27</v>
      </c>
      <c r="Q4" s="17" t="s">
        <v>101</v>
      </c>
      <c r="R4" s="19" t="s">
        <v>27</v>
      </c>
      <c r="S4" s="18" t="s">
        <v>102</v>
      </c>
      <c r="T4" s="19" t="s">
        <v>27</v>
      </c>
      <c r="U4" s="19" t="s">
        <v>27</v>
      </c>
      <c r="V4" s="19" t="s">
        <v>27</v>
      </c>
      <c r="W4" s="19" t="s">
        <v>27</v>
      </c>
      <c r="X4" s="19" t="s">
        <v>27</v>
      </c>
      <c r="Y4" s="20" t="n">
        <v>160</v>
      </c>
      <c r="Z4" s="20" t="n">
        <v>134</v>
      </c>
      <c r="AA4" s="19" t="s">
        <v>27</v>
      </c>
      <c r="AB4" s="19" t="s">
        <v>27</v>
      </c>
      <c r="AC4" s="18" t="s">
        <v>103</v>
      </c>
      <c r="AD4" s="18" t="s">
        <v>104</v>
      </c>
      <c r="AE4" s="17" t="s">
        <v>92</v>
      </c>
      <c r="AF4" s="17"/>
    </row>
    <row r="5" customFormat="false" ht="69.4" hidden="false" customHeight="false" outlineLevel="0" collapsed="false">
      <c r="A5" s="17" t="s">
        <v>105</v>
      </c>
      <c r="B5" s="18" t="s">
        <v>106</v>
      </c>
      <c r="C5" s="17" t="s">
        <v>107</v>
      </c>
      <c r="D5" s="17" t="s">
        <v>108</v>
      </c>
      <c r="E5" s="18" t="s">
        <v>109</v>
      </c>
      <c r="F5" s="19" t="s">
        <v>27</v>
      </c>
      <c r="G5" s="19" t="s">
        <v>27</v>
      </c>
      <c r="H5" s="19" t="s">
        <v>27</v>
      </c>
      <c r="I5" s="17" t="s">
        <v>110</v>
      </c>
      <c r="J5" s="17" t="s">
        <v>111</v>
      </c>
      <c r="K5" s="18" t="s">
        <v>112</v>
      </c>
      <c r="L5" s="18" t="s">
        <v>113</v>
      </c>
      <c r="M5" s="18" t="s">
        <v>23</v>
      </c>
      <c r="N5" s="19" t="s">
        <v>27</v>
      </c>
      <c r="O5" s="19" t="s">
        <v>27</v>
      </c>
      <c r="P5" s="18" t="s">
        <v>21</v>
      </c>
      <c r="Q5" s="17" t="s">
        <v>114</v>
      </c>
      <c r="R5" s="19" t="s">
        <v>27</v>
      </c>
      <c r="S5" s="19" t="s">
        <v>27</v>
      </c>
      <c r="T5" s="19" t="s">
        <v>27</v>
      </c>
      <c r="U5" s="19" t="s">
        <v>27</v>
      </c>
      <c r="V5" s="19" t="s">
        <v>27</v>
      </c>
      <c r="W5" s="19" t="s">
        <v>27</v>
      </c>
      <c r="X5" s="19" t="s">
        <v>27</v>
      </c>
      <c r="Y5" s="20" t="n">
        <v>218</v>
      </c>
      <c r="Z5" s="20" t="n">
        <v>93</v>
      </c>
      <c r="AA5" s="19" t="s">
        <v>27</v>
      </c>
      <c r="AB5" s="19" t="s">
        <v>27</v>
      </c>
      <c r="AC5" s="17" t="s">
        <v>115</v>
      </c>
      <c r="AD5" s="18" t="s">
        <v>116</v>
      </c>
      <c r="AE5" s="17" t="s">
        <v>92</v>
      </c>
      <c r="AF5" s="17"/>
    </row>
    <row r="6" customFormat="false" ht="44" hidden="false" customHeight="false" outlineLevel="0" collapsed="false">
      <c r="A6" s="17" t="s">
        <v>117</v>
      </c>
      <c r="B6" s="18" t="s">
        <v>118</v>
      </c>
      <c r="C6" s="17" t="s">
        <v>119</v>
      </c>
      <c r="D6" s="17" t="s">
        <v>120</v>
      </c>
      <c r="E6" s="18" t="s">
        <v>82</v>
      </c>
      <c r="F6" s="19" t="s">
        <v>27</v>
      </c>
      <c r="G6" s="19" t="s">
        <v>27</v>
      </c>
      <c r="H6" s="19" t="s">
        <v>27</v>
      </c>
      <c r="I6" s="19" t="s">
        <v>27</v>
      </c>
      <c r="J6" s="17" t="s">
        <v>6</v>
      </c>
      <c r="K6" s="18" t="s">
        <v>121</v>
      </c>
      <c r="L6" s="17" t="s">
        <v>122</v>
      </c>
      <c r="M6" s="19" t="s">
        <v>27</v>
      </c>
      <c r="N6" s="19" t="s">
        <v>27</v>
      </c>
      <c r="O6" s="18" t="s">
        <v>23</v>
      </c>
      <c r="P6" s="19" t="s">
        <v>27</v>
      </c>
      <c r="Q6" s="17" t="s">
        <v>123</v>
      </c>
      <c r="R6" s="19" t="s">
        <v>27</v>
      </c>
      <c r="S6" s="19" t="s">
        <v>27</v>
      </c>
      <c r="T6" s="19" t="s">
        <v>27</v>
      </c>
      <c r="U6" s="19" t="s">
        <v>27</v>
      </c>
      <c r="V6" s="19" t="s">
        <v>27</v>
      </c>
      <c r="W6" s="19" t="s">
        <v>27</v>
      </c>
      <c r="X6" s="19" t="s">
        <v>27</v>
      </c>
      <c r="Y6" s="20" t="n">
        <v>99</v>
      </c>
      <c r="Z6" s="20" t="n">
        <v>50</v>
      </c>
      <c r="AA6" s="19" t="s">
        <v>27</v>
      </c>
      <c r="AB6" s="19" t="s">
        <v>27</v>
      </c>
      <c r="AC6" s="17" t="s">
        <v>124</v>
      </c>
      <c r="AD6" s="18" t="s">
        <v>125</v>
      </c>
      <c r="AE6" s="17" t="s">
        <v>92</v>
      </c>
      <c r="AF6" s="17"/>
    </row>
    <row r="7" customFormat="false" ht="55.2" hidden="false" customHeight="false" outlineLevel="0" collapsed="false">
      <c r="A7" s="17" t="s">
        <v>117</v>
      </c>
      <c r="B7" s="18" t="s">
        <v>118</v>
      </c>
      <c r="C7" s="17" t="s">
        <v>126</v>
      </c>
      <c r="D7" s="17" t="s">
        <v>127</v>
      </c>
      <c r="E7" s="18" t="s">
        <v>82</v>
      </c>
      <c r="F7" s="19" t="s">
        <v>27</v>
      </c>
      <c r="G7" s="19" t="s">
        <v>27</v>
      </c>
      <c r="H7" s="19" t="s">
        <v>27</v>
      </c>
      <c r="I7" s="19" t="s">
        <v>27</v>
      </c>
      <c r="J7" s="17" t="s">
        <v>6</v>
      </c>
      <c r="K7" s="18" t="s">
        <v>121</v>
      </c>
      <c r="L7" s="17" t="s">
        <v>128</v>
      </c>
      <c r="M7" s="19" t="s">
        <v>27</v>
      </c>
      <c r="N7" s="19" t="s">
        <v>27</v>
      </c>
      <c r="O7" s="18" t="s">
        <v>23</v>
      </c>
      <c r="P7" s="19" t="s">
        <v>27</v>
      </c>
      <c r="Q7" s="18" t="s">
        <v>129</v>
      </c>
      <c r="R7" s="19" t="s">
        <v>27</v>
      </c>
      <c r="S7" s="19" t="s">
        <v>27</v>
      </c>
      <c r="T7" s="19" t="s">
        <v>27</v>
      </c>
      <c r="U7" s="19" t="s">
        <v>27</v>
      </c>
      <c r="V7" s="19" t="s">
        <v>27</v>
      </c>
      <c r="W7" s="19" t="s">
        <v>27</v>
      </c>
      <c r="X7" s="19" t="s">
        <v>27</v>
      </c>
      <c r="Y7" s="20" t="n">
        <v>179</v>
      </c>
      <c r="Z7" s="20" t="n">
        <v>98</v>
      </c>
      <c r="AA7" s="19" t="s">
        <v>27</v>
      </c>
      <c r="AB7" s="19" t="s">
        <v>27</v>
      </c>
      <c r="AC7" s="18" t="s">
        <v>130</v>
      </c>
      <c r="AD7" s="18" t="s">
        <v>131</v>
      </c>
      <c r="AE7" s="17" t="s">
        <v>92</v>
      </c>
      <c r="AF7" s="17"/>
    </row>
    <row r="8" customFormat="false" ht="55.2" hidden="false" customHeight="false" outlineLevel="0" collapsed="false">
      <c r="A8" s="17" t="s">
        <v>132</v>
      </c>
      <c r="B8" s="18" t="s">
        <v>133</v>
      </c>
      <c r="C8" s="17" t="s">
        <v>134</v>
      </c>
      <c r="D8" s="17" t="s">
        <v>135</v>
      </c>
      <c r="E8" s="18" t="s">
        <v>136</v>
      </c>
      <c r="F8" s="19" t="s">
        <v>27</v>
      </c>
      <c r="G8" s="19" t="s">
        <v>27</v>
      </c>
      <c r="H8" s="19" t="s">
        <v>27</v>
      </c>
      <c r="I8" s="19" t="s">
        <v>27</v>
      </c>
      <c r="J8" s="17" t="s">
        <v>6</v>
      </c>
      <c r="K8" s="19" t="s">
        <v>27</v>
      </c>
      <c r="L8" s="18" t="s">
        <v>137</v>
      </c>
      <c r="M8" s="19" t="s">
        <v>27</v>
      </c>
      <c r="N8" s="19" t="s">
        <v>27</v>
      </c>
      <c r="O8" s="19" t="s">
        <v>27</v>
      </c>
      <c r="P8" s="19" t="s">
        <v>27</v>
      </c>
      <c r="Q8" s="18" t="s">
        <v>138</v>
      </c>
      <c r="R8" s="19" t="s">
        <v>27</v>
      </c>
      <c r="S8" s="19" t="s">
        <v>27</v>
      </c>
      <c r="T8" s="19" t="s">
        <v>27</v>
      </c>
      <c r="U8" s="19" t="s">
        <v>27</v>
      </c>
      <c r="V8" s="19" t="s">
        <v>27</v>
      </c>
      <c r="W8" s="19" t="s">
        <v>27</v>
      </c>
      <c r="X8" s="19" t="s">
        <v>27</v>
      </c>
      <c r="Y8" s="20" t="n">
        <v>172</v>
      </c>
      <c r="Z8" s="20" t="n">
        <v>80</v>
      </c>
      <c r="AA8" s="19" t="s">
        <v>27</v>
      </c>
      <c r="AB8" s="19" t="s">
        <v>27</v>
      </c>
      <c r="AC8" s="18" t="s">
        <v>103</v>
      </c>
      <c r="AD8" s="18" t="s">
        <v>139</v>
      </c>
      <c r="AE8" s="17" t="s">
        <v>92</v>
      </c>
      <c r="AF8" s="17"/>
    </row>
    <row r="9" customFormat="false" ht="58.2" hidden="false" customHeight="false" outlineLevel="0" collapsed="false">
      <c r="A9" s="17" t="s">
        <v>132</v>
      </c>
      <c r="B9" s="18" t="s">
        <v>133</v>
      </c>
      <c r="C9" s="17" t="s">
        <v>140</v>
      </c>
      <c r="D9" s="17" t="s">
        <v>141</v>
      </c>
      <c r="E9" s="18" t="s">
        <v>142</v>
      </c>
      <c r="F9" s="19" t="s">
        <v>27</v>
      </c>
      <c r="G9" s="19" t="s">
        <v>27</v>
      </c>
      <c r="H9" s="19" t="s">
        <v>27</v>
      </c>
      <c r="I9" s="19" t="s">
        <v>27</v>
      </c>
      <c r="J9" s="17" t="s">
        <v>6</v>
      </c>
      <c r="K9" s="19" t="s">
        <v>27</v>
      </c>
      <c r="L9" s="18" t="s">
        <v>143</v>
      </c>
      <c r="M9" s="19" t="s">
        <v>27</v>
      </c>
      <c r="N9" s="19" t="s">
        <v>27</v>
      </c>
      <c r="O9" s="19" t="s">
        <v>27</v>
      </c>
      <c r="P9" s="19" t="s">
        <v>27</v>
      </c>
      <c r="Q9" s="17"/>
      <c r="R9" s="19" t="s">
        <v>27</v>
      </c>
      <c r="S9" s="19" t="s">
        <v>27</v>
      </c>
      <c r="T9" s="19" t="s">
        <v>27</v>
      </c>
      <c r="U9" s="19" t="s">
        <v>27</v>
      </c>
      <c r="V9" s="19" t="s">
        <v>27</v>
      </c>
      <c r="W9" s="19" t="s">
        <v>27</v>
      </c>
      <c r="X9" s="19" t="s">
        <v>27</v>
      </c>
      <c r="Y9" s="20" t="n">
        <v>218</v>
      </c>
      <c r="Z9" s="20" t="n">
        <v>109</v>
      </c>
      <c r="AA9" s="19" t="s">
        <v>27</v>
      </c>
      <c r="AB9" s="19" t="s">
        <v>27</v>
      </c>
      <c r="AC9" s="18" t="s">
        <v>103</v>
      </c>
      <c r="AD9" s="18" t="s">
        <v>139</v>
      </c>
      <c r="AE9" s="17" t="s">
        <v>92</v>
      </c>
      <c r="AF9" s="17"/>
    </row>
    <row r="10" customFormat="false" ht="17.15" hidden="false" customHeight="false" outlineLevel="0" collapsed="false">
      <c r="A10" s="16" t="s">
        <v>144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customFormat="false" ht="100.7" hidden="false" customHeight="false" outlineLevel="0" collapsed="false">
      <c r="A11" s="17" t="s">
        <v>145</v>
      </c>
      <c r="B11" s="18" t="s">
        <v>146</v>
      </c>
      <c r="C11" s="17" t="s">
        <v>147</v>
      </c>
      <c r="D11" s="17" t="s">
        <v>148</v>
      </c>
      <c r="E11" s="17" t="s">
        <v>149</v>
      </c>
      <c r="F11" s="19" t="s">
        <v>27</v>
      </c>
      <c r="G11" s="19" t="s">
        <v>27</v>
      </c>
      <c r="H11" s="19" t="s">
        <v>27</v>
      </c>
      <c r="I11" s="18" t="s">
        <v>150</v>
      </c>
      <c r="J11" s="17" t="s">
        <v>151</v>
      </c>
      <c r="K11" s="18" t="s">
        <v>152</v>
      </c>
      <c r="L11" s="17" t="s">
        <v>153</v>
      </c>
      <c r="M11" s="19" t="s">
        <v>27</v>
      </c>
      <c r="N11" s="19" t="s">
        <v>27</v>
      </c>
      <c r="O11" s="19" t="s">
        <v>27</v>
      </c>
      <c r="P11" s="19" t="s">
        <v>27</v>
      </c>
      <c r="Q11" s="17" t="s">
        <v>154</v>
      </c>
      <c r="R11" s="19" t="s">
        <v>27</v>
      </c>
      <c r="S11" s="19" t="s">
        <v>27</v>
      </c>
      <c r="T11" s="19" t="s">
        <v>27</v>
      </c>
      <c r="U11" s="19" t="s">
        <v>27</v>
      </c>
      <c r="V11" s="19" t="s">
        <v>27</v>
      </c>
      <c r="W11" s="19" t="s">
        <v>27</v>
      </c>
      <c r="X11" s="19" t="s">
        <v>27</v>
      </c>
      <c r="Y11" s="20" t="n">
        <v>161</v>
      </c>
      <c r="Z11" s="20" t="n">
        <v>128</v>
      </c>
      <c r="AA11" s="19" t="s">
        <v>27</v>
      </c>
      <c r="AB11" s="19" t="s">
        <v>27</v>
      </c>
      <c r="AC11" s="18" t="s">
        <v>103</v>
      </c>
      <c r="AD11" s="18" t="s">
        <v>155</v>
      </c>
      <c r="AE11" s="17" t="s">
        <v>156</v>
      </c>
      <c r="AF11" s="17"/>
    </row>
    <row r="12" customFormat="false" ht="44" hidden="false" customHeight="false" outlineLevel="0" collapsed="false">
      <c r="A12" s="17" t="s">
        <v>157</v>
      </c>
      <c r="B12" s="18" t="s">
        <v>158</v>
      </c>
      <c r="C12" s="18" t="s">
        <v>159</v>
      </c>
      <c r="D12" s="18" t="s">
        <v>160</v>
      </c>
      <c r="E12" s="18" t="s">
        <v>161</v>
      </c>
      <c r="F12" s="19" t="s">
        <v>27</v>
      </c>
      <c r="G12" s="19" t="s">
        <v>27</v>
      </c>
      <c r="H12" s="19" t="s">
        <v>27</v>
      </c>
      <c r="I12" s="18" t="s">
        <v>162</v>
      </c>
      <c r="J12" s="17" t="s">
        <v>163</v>
      </c>
      <c r="K12" s="18" t="s">
        <v>164</v>
      </c>
      <c r="L12" s="18" t="s">
        <v>165</v>
      </c>
      <c r="M12" s="19" t="s">
        <v>27</v>
      </c>
      <c r="N12" s="18" t="s">
        <v>23</v>
      </c>
      <c r="O12" s="19" t="s">
        <v>27</v>
      </c>
      <c r="P12" s="18" t="s">
        <v>23</v>
      </c>
      <c r="Q12" s="17" t="s">
        <v>166</v>
      </c>
      <c r="R12" s="19" t="s">
        <v>27</v>
      </c>
      <c r="S12" s="19" t="s">
        <v>27</v>
      </c>
      <c r="T12" s="19" t="s">
        <v>27</v>
      </c>
      <c r="U12" s="19" t="s">
        <v>27</v>
      </c>
      <c r="V12" s="19" t="s">
        <v>27</v>
      </c>
      <c r="W12" s="19" t="s">
        <v>27</v>
      </c>
      <c r="X12" s="19" t="s">
        <v>27</v>
      </c>
      <c r="Y12" s="17" t="s">
        <v>167</v>
      </c>
      <c r="Z12" s="17" t="s">
        <v>167</v>
      </c>
      <c r="AA12" s="19" t="s">
        <v>27</v>
      </c>
      <c r="AB12" s="19" t="s">
        <v>27</v>
      </c>
      <c r="AC12" s="18" t="s">
        <v>103</v>
      </c>
      <c r="AD12" s="18" t="s">
        <v>168</v>
      </c>
      <c r="AE12" s="17" t="s">
        <v>156</v>
      </c>
      <c r="AF12" s="17"/>
    </row>
    <row r="13" customFormat="false" ht="44" hidden="false" customHeight="false" outlineLevel="0" collapsed="false">
      <c r="A13" s="17" t="s">
        <v>169</v>
      </c>
      <c r="B13" s="18" t="s">
        <v>170</v>
      </c>
      <c r="C13" s="17" t="s">
        <v>171</v>
      </c>
      <c r="D13" s="17" t="s">
        <v>172</v>
      </c>
      <c r="E13" s="18" t="s">
        <v>173</v>
      </c>
      <c r="F13" s="19" t="s">
        <v>27</v>
      </c>
      <c r="G13" s="19" t="s">
        <v>27</v>
      </c>
      <c r="H13" s="19" t="s">
        <v>27</v>
      </c>
      <c r="I13" s="18" t="s">
        <v>174</v>
      </c>
      <c r="J13" s="17" t="s">
        <v>175</v>
      </c>
      <c r="K13" s="18" t="s">
        <v>176</v>
      </c>
      <c r="L13" s="17" t="s">
        <v>177</v>
      </c>
      <c r="M13" s="19" t="s">
        <v>27</v>
      </c>
      <c r="N13" s="18" t="s">
        <v>23</v>
      </c>
      <c r="O13" s="19" t="s">
        <v>27</v>
      </c>
      <c r="P13" s="18" t="s">
        <v>23</v>
      </c>
      <c r="Q13" s="18" t="s">
        <v>178</v>
      </c>
      <c r="R13" s="19" t="s">
        <v>27</v>
      </c>
      <c r="S13" s="19" t="s">
        <v>27</v>
      </c>
      <c r="T13" s="19" t="s">
        <v>27</v>
      </c>
      <c r="U13" s="19" t="s">
        <v>27</v>
      </c>
      <c r="V13" s="19" t="s">
        <v>27</v>
      </c>
      <c r="W13" s="19" t="s">
        <v>27</v>
      </c>
      <c r="X13" s="19" t="s">
        <v>27</v>
      </c>
      <c r="Y13" s="20" t="n">
        <v>93</v>
      </c>
      <c r="Z13" s="20" t="n">
        <v>29</v>
      </c>
      <c r="AA13" s="19" t="s">
        <v>27</v>
      </c>
      <c r="AB13" s="19" t="s">
        <v>27</v>
      </c>
      <c r="AC13" s="17" t="s">
        <v>179</v>
      </c>
      <c r="AD13" s="18" t="s">
        <v>180</v>
      </c>
      <c r="AE13" s="17" t="s">
        <v>156</v>
      </c>
      <c r="AF13" s="17"/>
    </row>
    <row r="14" customFormat="false" ht="29.85" hidden="false" customHeight="false" outlineLevel="0" collapsed="false">
      <c r="A14" s="17" t="s">
        <v>181</v>
      </c>
      <c r="B14" s="18" t="s">
        <v>182</v>
      </c>
      <c r="C14" s="17" t="s">
        <v>183</v>
      </c>
      <c r="D14" s="17" t="s">
        <v>184</v>
      </c>
      <c r="E14" s="18" t="s">
        <v>82</v>
      </c>
      <c r="F14" s="19" t="s">
        <v>27</v>
      </c>
      <c r="G14" s="19" t="s">
        <v>27</v>
      </c>
      <c r="H14" s="19" t="s">
        <v>27</v>
      </c>
      <c r="I14" s="19" t="s">
        <v>27</v>
      </c>
      <c r="J14" s="17" t="s">
        <v>6</v>
      </c>
      <c r="K14" s="18" t="s">
        <v>185</v>
      </c>
      <c r="L14" s="17" t="s">
        <v>186</v>
      </c>
      <c r="M14" s="19" t="s">
        <v>27</v>
      </c>
      <c r="N14" s="19" t="s">
        <v>27</v>
      </c>
      <c r="O14" s="19" t="s">
        <v>27</v>
      </c>
      <c r="P14" s="19" t="s">
        <v>27</v>
      </c>
      <c r="Q14" s="17"/>
      <c r="R14" s="19" t="s">
        <v>27</v>
      </c>
      <c r="S14" s="19" t="s">
        <v>27</v>
      </c>
      <c r="T14" s="19" t="s">
        <v>27</v>
      </c>
      <c r="U14" s="19" t="s">
        <v>27</v>
      </c>
      <c r="V14" s="19" t="s">
        <v>27</v>
      </c>
      <c r="W14" s="19" t="s">
        <v>27</v>
      </c>
      <c r="X14" s="19" t="s">
        <v>27</v>
      </c>
      <c r="Y14" s="20" t="n">
        <v>37</v>
      </c>
      <c r="Z14" s="20" t="n">
        <v>20</v>
      </c>
      <c r="AA14" s="19" t="s">
        <v>27</v>
      </c>
      <c r="AB14" s="19" t="s">
        <v>27</v>
      </c>
      <c r="AC14" s="17" t="s">
        <v>187</v>
      </c>
      <c r="AD14" s="18" t="s">
        <v>131</v>
      </c>
      <c r="AE14" s="17" t="s">
        <v>156</v>
      </c>
      <c r="AF14" s="17"/>
    </row>
    <row r="15" customFormat="false" ht="17.15" hidden="false" customHeight="false" outlineLevel="0" collapsed="false">
      <c r="A15" s="16" t="s">
        <v>188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customFormat="false" ht="29.85" hidden="false" customHeight="false" outlineLevel="0" collapsed="false">
      <c r="A16" s="17" t="s">
        <v>189</v>
      </c>
      <c r="B16" s="18" t="s">
        <v>190</v>
      </c>
      <c r="C16" s="17" t="s">
        <v>191</v>
      </c>
      <c r="D16" s="18" t="s">
        <v>192</v>
      </c>
      <c r="E16" s="18" t="s">
        <v>193</v>
      </c>
      <c r="F16" s="19" t="s">
        <v>27</v>
      </c>
      <c r="G16" s="19" t="s">
        <v>27</v>
      </c>
      <c r="H16" s="19" t="s">
        <v>27</v>
      </c>
      <c r="I16" s="18" t="s">
        <v>194</v>
      </c>
      <c r="J16" s="17" t="s">
        <v>195</v>
      </c>
      <c r="K16" s="18" t="s">
        <v>196</v>
      </c>
      <c r="L16" s="17" t="s">
        <v>167</v>
      </c>
      <c r="M16" s="18" t="s">
        <v>197</v>
      </c>
      <c r="N16" s="18" t="s">
        <v>197</v>
      </c>
      <c r="O16" s="18" t="s">
        <v>197</v>
      </c>
      <c r="P16" s="18" t="s">
        <v>197</v>
      </c>
      <c r="Q16" s="18" t="s">
        <v>198</v>
      </c>
      <c r="R16" s="19" t="s">
        <v>27</v>
      </c>
      <c r="S16" s="19" t="s">
        <v>27</v>
      </c>
      <c r="T16" s="19" t="s">
        <v>27</v>
      </c>
      <c r="U16" s="19" t="s">
        <v>27</v>
      </c>
      <c r="V16" s="19" t="s">
        <v>27</v>
      </c>
      <c r="W16" s="19" t="s">
        <v>27</v>
      </c>
      <c r="X16" s="19" t="s">
        <v>27</v>
      </c>
      <c r="Y16" s="17" t="s">
        <v>167</v>
      </c>
      <c r="Z16" s="17" t="s">
        <v>167</v>
      </c>
      <c r="AA16" s="19" t="s">
        <v>27</v>
      </c>
      <c r="AB16" s="19" t="s">
        <v>27</v>
      </c>
      <c r="AC16" s="18" t="s">
        <v>199</v>
      </c>
      <c r="AD16" s="18" t="s">
        <v>200</v>
      </c>
      <c r="AE16" s="17" t="s">
        <v>201</v>
      </c>
      <c r="AF16" s="17"/>
    </row>
    <row r="17" customFormat="false" ht="15" hidden="false" customHeight="false" outlineLevel="0" collapsed="false">
      <c r="A17" s="17" t="s">
        <v>189</v>
      </c>
      <c r="B17" s="18" t="s">
        <v>190</v>
      </c>
      <c r="C17" s="18" t="s">
        <v>202</v>
      </c>
      <c r="D17" s="18" t="s">
        <v>203</v>
      </c>
      <c r="E17" s="18" t="s">
        <v>193</v>
      </c>
      <c r="F17" s="19" t="s">
        <v>27</v>
      </c>
      <c r="G17" s="19" t="s">
        <v>27</v>
      </c>
      <c r="H17" s="19" t="s">
        <v>27</v>
      </c>
      <c r="I17" s="18" t="s">
        <v>194</v>
      </c>
      <c r="J17" s="17" t="s">
        <v>204</v>
      </c>
      <c r="K17" s="18" t="s">
        <v>193</v>
      </c>
      <c r="L17" s="17" t="s">
        <v>167</v>
      </c>
      <c r="M17" s="18" t="s">
        <v>197</v>
      </c>
      <c r="N17" s="18" t="s">
        <v>197</v>
      </c>
      <c r="O17" s="18" t="s">
        <v>197</v>
      </c>
      <c r="P17" s="18" t="s">
        <v>197</v>
      </c>
      <c r="Q17" s="18" t="s">
        <v>205</v>
      </c>
      <c r="R17" s="19" t="s">
        <v>27</v>
      </c>
      <c r="S17" s="19" t="s">
        <v>27</v>
      </c>
      <c r="T17" s="19" t="s">
        <v>27</v>
      </c>
      <c r="U17" s="19" t="s">
        <v>27</v>
      </c>
      <c r="V17" s="19" t="s">
        <v>27</v>
      </c>
      <c r="W17" s="19" t="s">
        <v>27</v>
      </c>
      <c r="X17" s="19" t="s">
        <v>27</v>
      </c>
      <c r="Y17" s="17" t="s">
        <v>167</v>
      </c>
      <c r="Z17" s="17" t="s">
        <v>167</v>
      </c>
      <c r="AA17" s="19" t="s">
        <v>27</v>
      </c>
      <c r="AB17" s="19" t="s">
        <v>27</v>
      </c>
      <c r="AC17" s="17" t="s">
        <v>167</v>
      </c>
      <c r="AD17" s="18" t="s">
        <v>206</v>
      </c>
      <c r="AE17" s="17" t="s">
        <v>207</v>
      </c>
      <c r="AF17" s="17"/>
    </row>
    <row r="18" customFormat="false" ht="17.15" hidden="false" customHeight="false" outlineLevel="0" collapsed="false">
      <c r="A18" s="16" t="s">
        <v>208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customFormat="false" ht="114.9" hidden="false" customHeight="false" outlineLevel="0" collapsed="false">
      <c r="A19" s="18" t="s">
        <v>209</v>
      </c>
      <c r="B19" s="17" t="s">
        <v>167</v>
      </c>
      <c r="C19" s="17" t="s">
        <v>210</v>
      </c>
      <c r="D19" s="17" t="s">
        <v>211</v>
      </c>
      <c r="E19" s="18" t="s">
        <v>82</v>
      </c>
      <c r="F19" s="17" t="s">
        <v>167</v>
      </c>
      <c r="G19" s="17" t="s">
        <v>167</v>
      </c>
      <c r="H19" s="17" t="s">
        <v>167</v>
      </c>
      <c r="I19" s="17" t="s">
        <v>167</v>
      </c>
      <c r="J19" s="17" t="s">
        <v>6</v>
      </c>
      <c r="K19" s="18" t="s">
        <v>212</v>
      </c>
      <c r="L19" s="17" t="s">
        <v>213</v>
      </c>
      <c r="M19" s="17" t="s">
        <v>167</v>
      </c>
      <c r="N19" s="17" t="s">
        <v>167</v>
      </c>
      <c r="O19" s="17" t="s">
        <v>167</v>
      </c>
      <c r="P19" s="17" t="s">
        <v>167</v>
      </c>
      <c r="Q19" s="17"/>
      <c r="R19" s="17" t="s">
        <v>167</v>
      </c>
      <c r="S19" s="17" t="s">
        <v>167</v>
      </c>
      <c r="T19" s="17" t="s">
        <v>167</v>
      </c>
      <c r="U19" s="17" t="s">
        <v>167</v>
      </c>
      <c r="V19" s="17" t="s">
        <v>167</v>
      </c>
      <c r="W19" s="17" t="s">
        <v>167</v>
      </c>
      <c r="X19" s="17" t="s">
        <v>167</v>
      </c>
      <c r="Y19" s="20" t="n">
        <v>35</v>
      </c>
      <c r="Z19" s="20" t="n">
        <v>17</v>
      </c>
      <c r="AA19" s="17" t="s">
        <v>167</v>
      </c>
      <c r="AB19" s="17" t="s">
        <v>167</v>
      </c>
      <c r="AC19" s="17" t="s">
        <v>214</v>
      </c>
      <c r="AD19" s="17" t="s">
        <v>167</v>
      </c>
      <c r="AE19" s="17" t="s">
        <v>167</v>
      </c>
      <c r="AF19" s="18" t="s">
        <v>215</v>
      </c>
    </row>
    <row r="20" customFormat="false" ht="44" hidden="false" customHeight="false" outlineLevel="0" collapsed="false">
      <c r="A20" s="18" t="s">
        <v>209</v>
      </c>
      <c r="B20" s="17" t="s">
        <v>167</v>
      </c>
      <c r="C20" s="17" t="s">
        <v>216</v>
      </c>
      <c r="D20" s="17" t="s">
        <v>217</v>
      </c>
      <c r="E20" s="18" t="s">
        <v>82</v>
      </c>
      <c r="F20" s="17" t="s">
        <v>167</v>
      </c>
      <c r="G20" s="17" t="s">
        <v>167</v>
      </c>
      <c r="H20" s="17" t="s">
        <v>167</v>
      </c>
      <c r="I20" s="17" t="s">
        <v>167</v>
      </c>
      <c r="J20" s="17" t="s">
        <v>6</v>
      </c>
      <c r="K20" s="18" t="s">
        <v>212</v>
      </c>
      <c r="L20" s="17" t="s">
        <v>218</v>
      </c>
      <c r="M20" s="17" t="s">
        <v>167</v>
      </c>
      <c r="N20" s="17" t="s">
        <v>167</v>
      </c>
      <c r="O20" s="17" t="s">
        <v>167</v>
      </c>
      <c r="P20" s="17" t="s">
        <v>167</v>
      </c>
      <c r="Q20" s="17"/>
      <c r="R20" s="17" t="s">
        <v>167</v>
      </c>
      <c r="S20" s="17" t="s">
        <v>167</v>
      </c>
      <c r="T20" s="17" t="s">
        <v>167</v>
      </c>
      <c r="U20" s="17" t="s">
        <v>167</v>
      </c>
      <c r="V20" s="17" t="s">
        <v>167</v>
      </c>
      <c r="W20" s="17" t="s">
        <v>167</v>
      </c>
      <c r="X20" s="17" t="s">
        <v>167</v>
      </c>
      <c r="Y20" s="20" t="n">
        <v>35</v>
      </c>
      <c r="Z20" s="20" t="n">
        <v>12</v>
      </c>
      <c r="AA20" s="17" t="s">
        <v>167</v>
      </c>
      <c r="AB20" s="17" t="s">
        <v>167</v>
      </c>
      <c r="AC20" s="17" t="s">
        <v>219</v>
      </c>
      <c r="AD20" s="17" t="s">
        <v>167</v>
      </c>
      <c r="AE20" s="17" t="s">
        <v>167</v>
      </c>
      <c r="AF20" s="17" t="s">
        <v>220</v>
      </c>
    </row>
    <row r="21" customFormat="false" ht="44" hidden="false" customHeight="false" outlineLevel="0" collapsed="false">
      <c r="A21" s="18" t="s">
        <v>209</v>
      </c>
      <c r="B21" s="17" t="s">
        <v>167</v>
      </c>
      <c r="C21" s="17" t="s">
        <v>221</v>
      </c>
      <c r="D21" s="17" t="s">
        <v>222</v>
      </c>
      <c r="E21" s="18" t="s">
        <v>82</v>
      </c>
      <c r="F21" s="17" t="s">
        <v>167</v>
      </c>
      <c r="G21" s="17" t="s">
        <v>167</v>
      </c>
      <c r="H21" s="17" t="s">
        <v>167</v>
      </c>
      <c r="I21" s="17" t="s">
        <v>167</v>
      </c>
      <c r="J21" s="17" t="s">
        <v>6</v>
      </c>
      <c r="K21" s="18" t="s">
        <v>212</v>
      </c>
      <c r="L21" s="17" t="s">
        <v>223</v>
      </c>
      <c r="M21" s="17" t="s">
        <v>167</v>
      </c>
      <c r="N21" s="17" t="s">
        <v>167</v>
      </c>
      <c r="O21" s="17" t="s">
        <v>167</v>
      </c>
      <c r="P21" s="17" t="s">
        <v>167</v>
      </c>
      <c r="Q21" s="17"/>
      <c r="R21" s="17" t="s">
        <v>167</v>
      </c>
      <c r="S21" s="17" t="s">
        <v>167</v>
      </c>
      <c r="T21" s="17" t="s">
        <v>167</v>
      </c>
      <c r="U21" s="17" t="s">
        <v>167</v>
      </c>
      <c r="V21" s="17" t="s">
        <v>167</v>
      </c>
      <c r="W21" s="17" t="s">
        <v>167</v>
      </c>
      <c r="X21" s="17" t="s">
        <v>167</v>
      </c>
      <c r="Y21" s="20" t="n">
        <v>138</v>
      </c>
      <c r="Z21" s="20" t="n">
        <v>69</v>
      </c>
      <c r="AA21" s="17" t="s">
        <v>167</v>
      </c>
      <c r="AB21" s="17" t="s">
        <v>167</v>
      </c>
      <c r="AC21" s="18" t="s">
        <v>224</v>
      </c>
      <c r="AD21" s="17" t="s">
        <v>167</v>
      </c>
      <c r="AE21" s="17" t="s">
        <v>167</v>
      </c>
      <c r="AF21" s="18" t="s">
        <v>225</v>
      </c>
    </row>
    <row r="22" customFormat="false" ht="58.2" hidden="false" customHeight="false" outlineLevel="0" collapsed="false">
      <c r="A22" s="18" t="s">
        <v>209</v>
      </c>
      <c r="B22" s="17" t="s">
        <v>167</v>
      </c>
      <c r="C22" s="17" t="s">
        <v>226</v>
      </c>
      <c r="D22" s="17" t="s">
        <v>227</v>
      </c>
      <c r="E22" s="18" t="s">
        <v>82</v>
      </c>
      <c r="F22" s="17" t="s">
        <v>167</v>
      </c>
      <c r="G22" s="17" t="s">
        <v>167</v>
      </c>
      <c r="H22" s="17" t="s">
        <v>167</v>
      </c>
      <c r="I22" s="17" t="s">
        <v>167</v>
      </c>
      <c r="J22" s="17" t="s">
        <v>6</v>
      </c>
      <c r="K22" s="18" t="s">
        <v>212</v>
      </c>
      <c r="L22" s="17" t="s">
        <v>228</v>
      </c>
      <c r="M22" s="17" t="s">
        <v>167</v>
      </c>
      <c r="N22" s="17" t="s">
        <v>167</v>
      </c>
      <c r="O22" s="17" t="s">
        <v>167</v>
      </c>
      <c r="P22" s="17" t="s">
        <v>167</v>
      </c>
      <c r="Q22" s="17"/>
      <c r="R22" s="17" t="s">
        <v>167</v>
      </c>
      <c r="S22" s="17" t="s">
        <v>167</v>
      </c>
      <c r="T22" s="17" t="s">
        <v>167</v>
      </c>
      <c r="U22" s="17" t="s">
        <v>167</v>
      </c>
      <c r="V22" s="17" t="s">
        <v>167</v>
      </c>
      <c r="W22" s="17" t="s">
        <v>167</v>
      </c>
      <c r="X22" s="17" t="s">
        <v>167</v>
      </c>
      <c r="Y22" s="20" t="n">
        <v>85</v>
      </c>
      <c r="Z22" s="20" t="n">
        <v>57</v>
      </c>
      <c r="AA22" s="17" t="s">
        <v>167</v>
      </c>
      <c r="AB22" s="17" t="s">
        <v>167</v>
      </c>
      <c r="AC22" s="18" t="s">
        <v>103</v>
      </c>
      <c r="AD22" s="17" t="s">
        <v>167</v>
      </c>
      <c r="AE22" s="17" t="s">
        <v>167</v>
      </c>
      <c r="AF22" s="18" t="s">
        <v>229</v>
      </c>
    </row>
    <row r="23" customFormat="false" ht="41" hidden="false" customHeight="false" outlineLevel="0" collapsed="false">
      <c r="A23" s="18" t="s">
        <v>209</v>
      </c>
      <c r="B23" s="17" t="s">
        <v>167</v>
      </c>
      <c r="C23" s="17" t="s">
        <v>230</v>
      </c>
      <c r="D23" s="17" t="s">
        <v>231</v>
      </c>
      <c r="E23" s="18" t="s">
        <v>232</v>
      </c>
      <c r="F23" s="17" t="s">
        <v>167</v>
      </c>
      <c r="G23" s="17" t="s">
        <v>167</v>
      </c>
      <c r="H23" s="17" t="s">
        <v>167</v>
      </c>
      <c r="I23" s="17" t="s">
        <v>167</v>
      </c>
      <c r="J23" s="17" t="s">
        <v>6</v>
      </c>
      <c r="K23" s="18" t="s">
        <v>212</v>
      </c>
      <c r="L23" s="17" t="s">
        <v>233</v>
      </c>
      <c r="M23" s="17" t="s">
        <v>167</v>
      </c>
      <c r="N23" s="17" t="s">
        <v>167</v>
      </c>
      <c r="O23" s="17" t="s">
        <v>167</v>
      </c>
      <c r="P23" s="17" t="s">
        <v>167</v>
      </c>
      <c r="Q23" s="17"/>
      <c r="R23" s="17" t="s">
        <v>167</v>
      </c>
      <c r="S23" s="17" t="s">
        <v>167</v>
      </c>
      <c r="T23" s="17" t="s">
        <v>167</v>
      </c>
      <c r="U23" s="17" t="s">
        <v>167</v>
      </c>
      <c r="V23" s="17" t="s">
        <v>167</v>
      </c>
      <c r="W23" s="17" t="s">
        <v>167</v>
      </c>
      <c r="X23" s="17" t="s">
        <v>167</v>
      </c>
      <c r="Y23" s="20" t="n">
        <v>108</v>
      </c>
      <c r="Z23" s="20" t="n">
        <v>31</v>
      </c>
      <c r="AA23" s="17" t="s">
        <v>167</v>
      </c>
      <c r="AB23" s="17" t="s">
        <v>167</v>
      </c>
      <c r="AC23" s="18" t="s">
        <v>103</v>
      </c>
      <c r="AD23" s="17" t="s">
        <v>167</v>
      </c>
      <c r="AE23" s="17" t="s">
        <v>167</v>
      </c>
      <c r="AF23" s="17"/>
    </row>
    <row r="24" customFormat="false" ht="29.85" hidden="false" customHeight="false" outlineLevel="0" collapsed="false">
      <c r="A24" s="18" t="s">
        <v>209</v>
      </c>
      <c r="B24" s="17" t="s">
        <v>167</v>
      </c>
      <c r="C24" s="17" t="s">
        <v>234</v>
      </c>
      <c r="D24" s="17" t="s">
        <v>235</v>
      </c>
      <c r="E24" s="18" t="s">
        <v>82</v>
      </c>
      <c r="F24" s="17" t="s">
        <v>167</v>
      </c>
      <c r="G24" s="17" t="s">
        <v>167</v>
      </c>
      <c r="H24" s="17" t="s">
        <v>167</v>
      </c>
      <c r="I24" s="17" t="s">
        <v>167</v>
      </c>
      <c r="J24" s="17" t="s">
        <v>6</v>
      </c>
      <c r="K24" s="18" t="s">
        <v>212</v>
      </c>
      <c r="L24" s="17" t="s">
        <v>236</v>
      </c>
      <c r="M24" s="17" t="s">
        <v>167</v>
      </c>
      <c r="N24" s="17" t="s">
        <v>167</v>
      </c>
      <c r="O24" s="17" t="s">
        <v>167</v>
      </c>
      <c r="P24" s="17" t="s">
        <v>167</v>
      </c>
      <c r="Q24" s="17"/>
      <c r="R24" s="17" t="s">
        <v>167</v>
      </c>
      <c r="S24" s="17" t="s">
        <v>167</v>
      </c>
      <c r="T24" s="17" t="s">
        <v>167</v>
      </c>
      <c r="U24" s="17" t="s">
        <v>167</v>
      </c>
      <c r="V24" s="17" t="s">
        <v>167</v>
      </c>
      <c r="W24" s="17" t="s">
        <v>167</v>
      </c>
      <c r="X24" s="17" t="s">
        <v>167</v>
      </c>
      <c r="Y24" s="20" t="n">
        <v>40</v>
      </c>
      <c r="Z24" s="20" t="n">
        <v>11</v>
      </c>
      <c r="AA24" s="17" t="s">
        <v>167</v>
      </c>
      <c r="AB24" s="17" t="s">
        <v>167</v>
      </c>
      <c r="AC24" s="18" t="s">
        <v>237</v>
      </c>
      <c r="AD24" s="17" t="s">
        <v>167</v>
      </c>
      <c r="AE24" s="17" t="s">
        <v>167</v>
      </c>
      <c r="AF24" s="17"/>
    </row>
    <row r="25" customFormat="false" ht="29.85" hidden="false" customHeight="false" outlineLevel="0" collapsed="false">
      <c r="A25" s="18" t="s">
        <v>209</v>
      </c>
      <c r="B25" s="17" t="s">
        <v>167</v>
      </c>
      <c r="C25" s="17" t="s">
        <v>238</v>
      </c>
      <c r="D25" s="17" t="s">
        <v>239</v>
      </c>
      <c r="E25" s="18" t="s">
        <v>82</v>
      </c>
      <c r="F25" s="17" t="s">
        <v>167</v>
      </c>
      <c r="G25" s="17" t="s">
        <v>167</v>
      </c>
      <c r="H25" s="17" t="s">
        <v>167</v>
      </c>
      <c r="I25" s="17" t="s">
        <v>167</v>
      </c>
      <c r="J25" s="17" t="s">
        <v>6</v>
      </c>
      <c r="K25" s="18" t="s">
        <v>212</v>
      </c>
      <c r="L25" s="17" t="s">
        <v>240</v>
      </c>
      <c r="M25" s="17" t="s">
        <v>167</v>
      </c>
      <c r="N25" s="17" t="s">
        <v>167</v>
      </c>
      <c r="O25" s="17" t="s">
        <v>167</v>
      </c>
      <c r="P25" s="17" t="s">
        <v>167</v>
      </c>
      <c r="Q25" s="17"/>
      <c r="R25" s="17" t="s">
        <v>167</v>
      </c>
      <c r="S25" s="17" t="s">
        <v>167</v>
      </c>
      <c r="T25" s="17" t="s">
        <v>167</v>
      </c>
      <c r="U25" s="17" t="s">
        <v>167</v>
      </c>
      <c r="V25" s="17" t="s">
        <v>167</v>
      </c>
      <c r="W25" s="17" t="s">
        <v>167</v>
      </c>
      <c r="X25" s="17" t="s">
        <v>167</v>
      </c>
      <c r="Y25" s="20" t="n">
        <v>18</v>
      </c>
      <c r="Z25" s="20" t="n">
        <v>11</v>
      </c>
      <c r="AA25" s="17" t="s">
        <v>167</v>
      </c>
      <c r="AB25" s="17" t="s">
        <v>167</v>
      </c>
      <c r="AC25" s="17" t="s">
        <v>241</v>
      </c>
      <c r="AD25" s="17" t="s">
        <v>167</v>
      </c>
      <c r="AE25" s="17" t="s">
        <v>167</v>
      </c>
      <c r="AF25" s="17"/>
    </row>
    <row r="26" customFormat="false" ht="41" hidden="false" customHeight="false" outlineLevel="0" collapsed="false">
      <c r="A26" s="18" t="s">
        <v>209</v>
      </c>
      <c r="B26" s="17" t="s">
        <v>167</v>
      </c>
      <c r="C26" s="17" t="s">
        <v>242</v>
      </c>
      <c r="D26" s="17" t="s">
        <v>243</v>
      </c>
      <c r="E26" s="18" t="s">
        <v>82</v>
      </c>
      <c r="F26" s="17" t="s">
        <v>167</v>
      </c>
      <c r="G26" s="17" t="s">
        <v>167</v>
      </c>
      <c r="H26" s="17" t="s">
        <v>167</v>
      </c>
      <c r="I26" s="17" t="s">
        <v>167</v>
      </c>
      <c r="J26" s="17" t="s">
        <v>6</v>
      </c>
      <c r="K26" s="18" t="s">
        <v>212</v>
      </c>
      <c r="L26" s="17" t="s">
        <v>244</v>
      </c>
      <c r="M26" s="17" t="s">
        <v>167</v>
      </c>
      <c r="N26" s="17" t="s">
        <v>167</v>
      </c>
      <c r="O26" s="17" t="s">
        <v>167</v>
      </c>
      <c r="P26" s="17" t="s">
        <v>167</v>
      </c>
      <c r="Q26" s="17"/>
      <c r="R26" s="17" t="s">
        <v>167</v>
      </c>
      <c r="S26" s="17" t="s">
        <v>167</v>
      </c>
      <c r="T26" s="17" t="s">
        <v>167</v>
      </c>
      <c r="U26" s="17" t="s">
        <v>167</v>
      </c>
      <c r="V26" s="17" t="s">
        <v>167</v>
      </c>
      <c r="W26" s="17" t="s">
        <v>167</v>
      </c>
      <c r="X26" s="17" t="s">
        <v>167</v>
      </c>
      <c r="Y26" s="20" t="n">
        <v>22</v>
      </c>
      <c r="Z26" s="20" t="n">
        <v>16</v>
      </c>
      <c r="AA26" s="17" t="s">
        <v>167</v>
      </c>
      <c r="AB26" s="17" t="s">
        <v>167</v>
      </c>
      <c r="AC26" s="17" t="s">
        <v>245</v>
      </c>
      <c r="AD26" s="17" t="s">
        <v>167</v>
      </c>
      <c r="AE26" s="17" t="s">
        <v>167</v>
      </c>
      <c r="AF26" s="17"/>
    </row>
    <row r="27" customFormat="false" ht="44" hidden="false" customHeight="false" outlineLevel="0" collapsed="false">
      <c r="A27" s="18" t="s">
        <v>209</v>
      </c>
      <c r="B27" s="17" t="s">
        <v>167</v>
      </c>
      <c r="C27" s="17" t="s">
        <v>246</v>
      </c>
      <c r="D27" s="17" t="s">
        <v>247</v>
      </c>
      <c r="E27" s="18" t="s">
        <v>82</v>
      </c>
      <c r="F27" s="17" t="s">
        <v>167</v>
      </c>
      <c r="G27" s="17" t="s">
        <v>167</v>
      </c>
      <c r="H27" s="17" t="s">
        <v>167</v>
      </c>
      <c r="I27" s="17" t="s">
        <v>167</v>
      </c>
      <c r="J27" s="17" t="s">
        <v>6</v>
      </c>
      <c r="K27" s="18" t="s">
        <v>212</v>
      </c>
      <c r="L27" s="17" t="s">
        <v>248</v>
      </c>
      <c r="M27" s="17" t="s">
        <v>167</v>
      </c>
      <c r="N27" s="17" t="s">
        <v>167</v>
      </c>
      <c r="O27" s="17" t="s">
        <v>167</v>
      </c>
      <c r="P27" s="17" t="s">
        <v>167</v>
      </c>
      <c r="Q27" s="17"/>
      <c r="R27" s="17" t="s">
        <v>167</v>
      </c>
      <c r="S27" s="17" t="s">
        <v>167</v>
      </c>
      <c r="T27" s="17" t="s">
        <v>167</v>
      </c>
      <c r="U27" s="17" t="s">
        <v>167</v>
      </c>
      <c r="V27" s="17" t="s">
        <v>167</v>
      </c>
      <c r="W27" s="17" t="s">
        <v>167</v>
      </c>
      <c r="X27" s="17" t="s">
        <v>167</v>
      </c>
      <c r="Y27" s="20" t="n">
        <v>83</v>
      </c>
      <c r="Z27" s="20" t="n">
        <v>67</v>
      </c>
      <c r="AA27" s="17" t="s">
        <v>167</v>
      </c>
      <c r="AB27" s="17" t="s">
        <v>167</v>
      </c>
      <c r="AC27" s="17" t="s">
        <v>249</v>
      </c>
      <c r="AD27" s="17" t="s">
        <v>167</v>
      </c>
      <c r="AE27" s="17" t="s">
        <v>167</v>
      </c>
      <c r="AF27" s="17"/>
    </row>
    <row r="28" customFormat="false" ht="44" hidden="false" customHeight="false" outlineLevel="0" collapsed="false">
      <c r="A28" s="18" t="s">
        <v>209</v>
      </c>
      <c r="B28" s="17" t="s">
        <v>167</v>
      </c>
      <c r="C28" s="17" t="s">
        <v>250</v>
      </c>
      <c r="D28" s="17" t="s">
        <v>251</v>
      </c>
      <c r="E28" s="18" t="s">
        <v>82</v>
      </c>
      <c r="F28" s="17" t="s">
        <v>167</v>
      </c>
      <c r="G28" s="17" t="s">
        <v>167</v>
      </c>
      <c r="H28" s="17" t="s">
        <v>167</v>
      </c>
      <c r="I28" s="17" t="s">
        <v>167</v>
      </c>
      <c r="J28" s="17" t="s">
        <v>6</v>
      </c>
      <c r="K28" s="18" t="s">
        <v>212</v>
      </c>
      <c r="L28" s="17" t="s">
        <v>252</v>
      </c>
      <c r="M28" s="17" t="s">
        <v>167</v>
      </c>
      <c r="N28" s="17" t="s">
        <v>167</v>
      </c>
      <c r="O28" s="17" t="s">
        <v>167</v>
      </c>
      <c r="P28" s="17" t="s">
        <v>167</v>
      </c>
      <c r="Q28" s="17"/>
      <c r="R28" s="17" t="s">
        <v>167</v>
      </c>
      <c r="S28" s="17" t="s">
        <v>167</v>
      </c>
      <c r="T28" s="17" t="s">
        <v>167</v>
      </c>
      <c r="U28" s="17" t="s">
        <v>167</v>
      </c>
      <c r="V28" s="17" t="s">
        <v>167</v>
      </c>
      <c r="W28" s="17" t="s">
        <v>167</v>
      </c>
      <c r="X28" s="17" t="s">
        <v>167</v>
      </c>
      <c r="Y28" s="21" t="n">
        <v>65.8</v>
      </c>
      <c r="Z28" s="21" t="n">
        <v>51.2</v>
      </c>
      <c r="AA28" s="17" t="s">
        <v>167</v>
      </c>
      <c r="AB28" s="17" t="s">
        <v>167</v>
      </c>
      <c r="AC28" s="17" t="s">
        <v>253</v>
      </c>
      <c r="AD28" s="17" t="s">
        <v>167</v>
      </c>
      <c r="AE28" s="17" t="s">
        <v>167</v>
      </c>
      <c r="AF28" s="17"/>
    </row>
    <row r="29" customFormat="false" ht="58.2" hidden="false" customHeight="false" outlineLevel="0" collapsed="false">
      <c r="A29" s="18" t="s">
        <v>209</v>
      </c>
      <c r="B29" s="17" t="s">
        <v>167</v>
      </c>
      <c r="C29" s="17" t="s">
        <v>254</v>
      </c>
      <c r="D29" s="17" t="s">
        <v>255</v>
      </c>
      <c r="E29" s="18" t="s">
        <v>82</v>
      </c>
      <c r="F29" s="17" t="s">
        <v>167</v>
      </c>
      <c r="G29" s="17" t="s">
        <v>167</v>
      </c>
      <c r="H29" s="17" t="s">
        <v>167</v>
      </c>
      <c r="I29" s="17" t="s">
        <v>167</v>
      </c>
      <c r="J29" s="17" t="s">
        <v>6</v>
      </c>
      <c r="K29" s="18" t="s">
        <v>212</v>
      </c>
      <c r="L29" s="17" t="s">
        <v>256</v>
      </c>
      <c r="M29" s="17" t="s">
        <v>167</v>
      </c>
      <c r="N29" s="17" t="s">
        <v>167</v>
      </c>
      <c r="O29" s="17" t="s">
        <v>167</v>
      </c>
      <c r="P29" s="17" t="s">
        <v>167</v>
      </c>
      <c r="Q29" s="17"/>
      <c r="R29" s="17" t="s">
        <v>167</v>
      </c>
      <c r="S29" s="17" t="s">
        <v>167</v>
      </c>
      <c r="T29" s="17" t="s">
        <v>167</v>
      </c>
      <c r="U29" s="17" t="s">
        <v>167</v>
      </c>
      <c r="V29" s="17" t="s">
        <v>167</v>
      </c>
      <c r="W29" s="17" t="s">
        <v>167</v>
      </c>
      <c r="X29" s="17" t="s">
        <v>167</v>
      </c>
      <c r="Y29" s="20" t="n">
        <v>62</v>
      </c>
      <c r="Z29" s="20" t="n">
        <v>48</v>
      </c>
      <c r="AA29" s="17" t="s">
        <v>167</v>
      </c>
      <c r="AB29" s="17" t="s">
        <v>167</v>
      </c>
      <c r="AC29" s="17" t="s">
        <v>257</v>
      </c>
      <c r="AD29" s="17" t="s">
        <v>167</v>
      </c>
      <c r="AE29" s="17" t="s">
        <v>167</v>
      </c>
      <c r="AF29" s="17"/>
    </row>
    <row r="30" customFormat="false" ht="58.2" hidden="false" customHeight="false" outlineLevel="0" collapsed="false">
      <c r="A30" s="18" t="s">
        <v>209</v>
      </c>
      <c r="B30" s="17" t="s">
        <v>167</v>
      </c>
      <c r="C30" s="17" t="s">
        <v>258</v>
      </c>
      <c r="D30" s="17" t="s">
        <v>259</v>
      </c>
      <c r="E30" s="18" t="s">
        <v>82</v>
      </c>
      <c r="F30" s="17" t="s">
        <v>167</v>
      </c>
      <c r="G30" s="17" t="s">
        <v>167</v>
      </c>
      <c r="H30" s="17" t="s">
        <v>167</v>
      </c>
      <c r="I30" s="17" t="s">
        <v>167</v>
      </c>
      <c r="J30" s="17" t="s">
        <v>6</v>
      </c>
      <c r="K30" s="18" t="s">
        <v>212</v>
      </c>
      <c r="L30" s="17" t="s">
        <v>260</v>
      </c>
      <c r="M30" s="17" t="s">
        <v>167</v>
      </c>
      <c r="N30" s="17" t="s">
        <v>167</v>
      </c>
      <c r="O30" s="17" t="s">
        <v>167</v>
      </c>
      <c r="P30" s="17" t="s">
        <v>167</v>
      </c>
      <c r="Q30" s="17"/>
      <c r="R30" s="17" t="s">
        <v>167</v>
      </c>
      <c r="S30" s="17" t="s">
        <v>167</v>
      </c>
      <c r="T30" s="17" t="s">
        <v>167</v>
      </c>
      <c r="U30" s="17" t="s">
        <v>167</v>
      </c>
      <c r="V30" s="17" t="s">
        <v>167</v>
      </c>
      <c r="W30" s="17" t="s">
        <v>167</v>
      </c>
      <c r="X30" s="17" t="s">
        <v>167</v>
      </c>
      <c r="Y30" s="20" t="n">
        <v>58</v>
      </c>
      <c r="Z30" s="20" t="n">
        <v>44</v>
      </c>
      <c r="AA30" s="17" t="s">
        <v>167</v>
      </c>
      <c r="AB30" s="17" t="s">
        <v>167</v>
      </c>
      <c r="AC30" s="17" t="s">
        <v>261</v>
      </c>
      <c r="AD30" s="17" t="s">
        <v>167</v>
      </c>
      <c r="AE30" s="17" t="s">
        <v>167</v>
      </c>
      <c r="AF30" s="17"/>
    </row>
    <row r="31" customFormat="false" ht="41" hidden="false" customHeight="false" outlineLevel="0" collapsed="false">
      <c r="A31" s="18" t="s">
        <v>209</v>
      </c>
      <c r="B31" s="17" t="s">
        <v>167</v>
      </c>
      <c r="C31" s="17" t="s">
        <v>262</v>
      </c>
      <c r="D31" s="17" t="s">
        <v>263</v>
      </c>
      <c r="E31" s="18" t="s">
        <v>82</v>
      </c>
      <c r="F31" s="17" t="s">
        <v>167</v>
      </c>
      <c r="G31" s="17" t="s">
        <v>167</v>
      </c>
      <c r="H31" s="17" t="s">
        <v>167</v>
      </c>
      <c r="I31" s="17" t="s">
        <v>167</v>
      </c>
      <c r="J31" s="17" t="s">
        <v>6</v>
      </c>
      <c r="K31" s="18" t="s">
        <v>212</v>
      </c>
      <c r="L31" s="17" t="s">
        <v>264</v>
      </c>
      <c r="M31" s="17" t="s">
        <v>167</v>
      </c>
      <c r="N31" s="17" t="s">
        <v>167</v>
      </c>
      <c r="O31" s="17" t="s">
        <v>167</v>
      </c>
      <c r="P31" s="17" t="s">
        <v>167</v>
      </c>
      <c r="Q31" s="17"/>
      <c r="R31" s="17" t="s">
        <v>167</v>
      </c>
      <c r="S31" s="17" t="s">
        <v>167</v>
      </c>
      <c r="T31" s="17" t="s">
        <v>167</v>
      </c>
      <c r="U31" s="17" t="s">
        <v>167</v>
      </c>
      <c r="V31" s="17" t="s">
        <v>167</v>
      </c>
      <c r="W31" s="17" t="s">
        <v>167</v>
      </c>
      <c r="X31" s="17" t="s">
        <v>167</v>
      </c>
      <c r="Y31" s="20" t="n">
        <v>59</v>
      </c>
      <c r="Z31" s="20" t="n">
        <v>34</v>
      </c>
      <c r="AA31" s="17" t="s">
        <v>167</v>
      </c>
      <c r="AB31" s="17" t="s">
        <v>167</v>
      </c>
      <c r="AC31" s="17" t="s">
        <v>265</v>
      </c>
      <c r="AD31" s="17" t="s">
        <v>167</v>
      </c>
      <c r="AE31" s="17" t="s">
        <v>167</v>
      </c>
      <c r="AF31" s="17"/>
    </row>
    <row r="32" customFormat="false" ht="29.85" hidden="false" customHeight="false" outlineLevel="0" collapsed="false">
      <c r="A32" s="18" t="s">
        <v>209</v>
      </c>
      <c r="B32" s="17" t="s">
        <v>167</v>
      </c>
      <c r="C32" s="17" t="s">
        <v>266</v>
      </c>
      <c r="D32" s="17" t="s">
        <v>263</v>
      </c>
      <c r="E32" s="18" t="s">
        <v>82</v>
      </c>
      <c r="F32" s="17" t="s">
        <v>167</v>
      </c>
      <c r="G32" s="17" t="s">
        <v>167</v>
      </c>
      <c r="H32" s="17" t="s">
        <v>167</v>
      </c>
      <c r="I32" s="17" t="s">
        <v>167</v>
      </c>
      <c r="J32" s="17" t="s">
        <v>6</v>
      </c>
      <c r="K32" s="18" t="s">
        <v>212</v>
      </c>
      <c r="L32" s="18" t="s">
        <v>267</v>
      </c>
      <c r="M32" s="17" t="s">
        <v>167</v>
      </c>
      <c r="N32" s="17" t="s">
        <v>167</v>
      </c>
      <c r="O32" s="17" t="s">
        <v>167</v>
      </c>
      <c r="P32" s="17" t="s">
        <v>167</v>
      </c>
      <c r="Q32" s="17"/>
      <c r="R32" s="17" t="s">
        <v>167</v>
      </c>
      <c r="S32" s="17" t="s">
        <v>167</v>
      </c>
      <c r="T32" s="17" t="s">
        <v>167</v>
      </c>
      <c r="U32" s="17" t="s">
        <v>167</v>
      </c>
      <c r="V32" s="17" t="s">
        <v>167</v>
      </c>
      <c r="W32" s="17" t="s">
        <v>167</v>
      </c>
      <c r="X32" s="17" t="s">
        <v>167</v>
      </c>
      <c r="Y32" s="21" t="n">
        <v>59.5</v>
      </c>
      <c r="Z32" s="21" t="n">
        <v>34.5</v>
      </c>
      <c r="AA32" s="17" t="s">
        <v>167</v>
      </c>
      <c r="AB32" s="17" t="s">
        <v>167</v>
      </c>
      <c r="AC32" s="17" t="s">
        <v>268</v>
      </c>
      <c r="AD32" s="17" t="s">
        <v>167</v>
      </c>
      <c r="AE32" s="17" t="s">
        <v>167</v>
      </c>
      <c r="AF32" s="17"/>
    </row>
    <row r="33" customFormat="false" ht="29.85" hidden="false" customHeight="false" outlineLevel="0" collapsed="false">
      <c r="A33" s="18" t="s">
        <v>209</v>
      </c>
      <c r="B33" s="17" t="s">
        <v>167</v>
      </c>
      <c r="C33" s="17" t="s">
        <v>269</v>
      </c>
      <c r="D33" s="17" t="s">
        <v>270</v>
      </c>
      <c r="E33" s="18" t="s">
        <v>82</v>
      </c>
      <c r="F33" s="17" t="s">
        <v>167</v>
      </c>
      <c r="G33" s="17" t="s">
        <v>167</v>
      </c>
      <c r="H33" s="17" t="s">
        <v>167</v>
      </c>
      <c r="I33" s="17" t="s">
        <v>167</v>
      </c>
      <c r="J33" s="17" t="s">
        <v>6</v>
      </c>
      <c r="K33" s="18" t="s">
        <v>212</v>
      </c>
      <c r="L33" s="17" t="s">
        <v>271</v>
      </c>
      <c r="M33" s="17" t="s">
        <v>167</v>
      </c>
      <c r="N33" s="17" t="s">
        <v>167</v>
      </c>
      <c r="O33" s="17" t="s">
        <v>167</v>
      </c>
      <c r="P33" s="17" t="s">
        <v>167</v>
      </c>
      <c r="Q33" s="17"/>
      <c r="R33" s="17" t="s">
        <v>167</v>
      </c>
      <c r="S33" s="17" t="s">
        <v>167</v>
      </c>
      <c r="T33" s="17" t="s">
        <v>167</v>
      </c>
      <c r="U33" s="17" t="s">
        <v>167</v>
      </c>
      <c r="V33" s="17" t="s">
        <v>167</v>
      </c>
      <c r="W33" s="17" t="s">
        <v>167</v>
      </c>
      <c r="X33" s="17" t="s">
        <v>167</v>
      </c>
      <c r="Y33" s="20" t="n">
        <v>44</v>
      </c>
      <c r="Z33" s="20" t="n">
        <v>13</v>
      </c>
      <c r="AA33" s="17" t="s">
        <v>167</v>
      </c>
      <c r="AB33" s="17" t="s">
        <v>167</v>
      </c>
      <c r="AC33" s="17" t="s">
        <v>272</v>
      </c>
      <c r="AD33" s="17" t="s">
        <v>167</v>
      </c>
      <c r="AE33" s="17" t="s">
        <v>167</v>
      </c>
      <c r="AF33" s="17"/>
    </row>
    <row r="34" customFormat="false" ht="29.85" hidden="false" customHeight="false" outlineLevel="0" collapsed="false">
      <c r="A34" s="18" t="s">
        <v>209</v>
      </c>
      <c r="B34" s="17" t="s">
        <v>167</v>
      </c>
      <c r="C34" s="17" t="s">
        <v>273</v>
      </c>
      <c r="D34" s="17" t="s">
        <v>274</v>
      </c>
      <c r="E34" s="18" t="s">
        <v>82</v>
      </c>
      <c r="F34" s="17" t="s">
        <v>167</v>
      </c>
      <c r="G34" s="17" t="s">
        <v>167</v>
      </c>
      <c r="H34" s="17" t="s">
        <v>167</v>
      </c>
      <c r="I34" s="17" t="s">
        <v>167</v>
      </c>
      <c r="J34" s="17" t="s">
        <v>6</v>
      </c>
      <c r="K34" s="18" t="s">
        <v>212</v>
      </c>
      <c r="L34" s="17" t="s">
        <v>275</v>
      </c>
      <c r="M34" s="17" t="s">
        <v>167</v>
      </c>
      <c r="N34" s="17" t="s">
        <v>167</v>
      </c>
      <c r="O34" s="17" t="s">
        <v>167</v>
      </c>
      <c r="P34" s="17" t="s">
        <v>167</v>
      </c>
      <c r="Q34" s="17"/>
      <c r="R34" s="17" t="s">
        <v>167</v>
      </c>
      <c r="S34" s="17" t="s">
        <v>167</v>
      </c>
      <c r="T34" s="17" t="s">
        <v>167</v>
      </c>
      <c r="U34" s="17" t="s">
        <v>167</v>
      </c>
      <c r="V34" s="17" t="s">
        <v>167</v>
      </c>
      <c r="W34" s="17" t="s">
        <v>167</v>
      </c>
      <c r="X34" s="17" t="s">
        <v>167</v>
      </c>
      <c r="Y34" s="20" t="n">
        <v>44</v>
      </c>
      <c r="Z34" s="20" t="n">
        <v>14</v>
      </c>
      <c r="AA34" s="17" t="s">
        <v>167</v>
      </c>
      <c r="AB34" s="17" t="s">
        <v>167</v>
      </c>
      <c r="AC34" s="17" t="s">
        <v>276</v>
      </c>
      <c r="AD34" s="17" t="s">
        <v>167</v>
      </c>
      <c r="AE34" s="17" t="s">
        <v>167</v>
      </c>
      <c r="AF34" s="17"/>
    </row>
    <row r="35" customFormat="false" ht="29.85" hidden="false" customHeight="false" outlineLevel="0" collapsed="false">
      <c r="A35" s="18" t="s">
        <v>209</v>
      </c>
      <c r="B35" s="17" t="s">
        <v>167</v>
      </c>
      <c r="C35" s="17" t="s">
        <v>277</v>
      </c>
      <c r="D35" s="17" t="s">
        <v>278</v>
      </c>
      <c r="E35" s="18" t="s">
        <v>82</v>
      </c>
      <c r="F35" s="17" t="s">
        <v>167</v>
      </c>
      <c r="G35" s="17" t="s">
        <v>167</v>
      </c>
      <c r="H35" s="17" t="s">
        <v>167</v>
      </c>
      <c r="I35" s="17" t="s">
        <v>167</v>
      </c>
      <c r="J35" s="17" t="s">
        <v>6</v>
      </c>
      <c r="K35" s="18" t="s">
        <v>212</v>
      </c>
      <c r="L35" s="17" t="s">
        <v>279</v>
      </c>
      <c r="M35" s="17" t="s">
        <v>167</v>
      </c>
      <c r="N35" s="17" t="s">
        <v>167</v>
      </c>
      <c r="O35" s="17" t="s">
        <v>167</v>
      </c>
      <c r="P35" s="17" t="s">
        <v>167</v>
      </c>
      <c r="Q35" s="17"/>
      <c r="R35" s="17" t="s">
        <v>167</v>
      </c>
      <c r="S35" s="17" t="s">
        <v>167</v>
      </c>
      <c r="T35" s="17" t="s">
        <v>167</v>
      </c>
      <c r="U35" s="17" t="s">
        <v>167</v>
      </c>
      <c r="V35" s="17" t="s">
        <v>167</v>
      </c>
      <c r="W35" s="17" t="s">
        <v>167</v>
      </c>
      <c r="X35" s="17" t="s">
        <v>167</v>
      </c>
      <c r="Y35" s="20" t="n">
        <v>35</v>
      </c>
      <c r="Z35" s="20" t="n">
        <v>18</v>
      </c>
      <c r="AA35" s="17" t="s">
        <v>167</v>
      </c>
      <c r="AB35" s="17" t="s">
        <v>167</v>
      </c>
      <c r="AC35" s="17" t="s">
        <v>280</v>
      </c>
      <c r="AD35" s="17" t="s">
        <v>167</v>
      </c>
      <c r="AE35" s="17" t="s">
        <v>167</v>
      </c>
      <c r="AF35" s="17"/>
    </row>
    <row r="36" customFormat="false" ht="29.85" hidden="false" customHeight="false" outlineLevel="0" collapsed="false">
      <c r="A36" s="18" t="s">
        <v>209</v>
      </c>
      <c r="B36" s="17" t="s">
        <v>167</v>
      </c>
      <c r="C36" s="17" t="s">
        <v>281</v>
      </c>
      <c r="D36" s="17" t="s">
        <v>282</v>
      </c>
      <c r="E36" s="18" t="s">
        <v>82</v>
      </c>
      <c r="F36" s="17" t="s">
        <v>167</v>
      </c>
      <c r="G36" s="17" t="s">
        <v>167</v>
      </c>
      <c r="H36" s="17" t="s">
        <v>167</v>
      </c>
      <c r="I36" s="17" t="s">
        <v>167</v>
      </c>
      <c r="J36" s="17" t="s">
        <v>6</v>
      </c>
      <c r="K36" s="18" t="s">
        <v>212</v>
      </c>
      <c r="L36" s="17" t="s">
        <v>283</v>
      </c>
      <c r="M36" s="17" t="s">
        <v>167</v>
      </c>
      <c r="N36" s="17" t="s">
        <v>167</v>
      </c>
      <c r="O36" s="17" t="s">
        <v>167</v>
      </c>
      <c r="P36" s="17" t="s">
        <v>167</v>
      </c>
      <c r="Q36" s="17"/>
      <c r="R36" s="17" t="s">
        <v>167</v>
      </c>
      <c r="S36" s="17" t="s">
        <v>167</v>
      </c>
      <c r="T36" s="17" t="s">
        <v>167</v>
      </c>
      <c r="U36" s="17" t="s">
        <v>167</v>
      </c>
      <c r="V36" s="17" t="s">
        <v>167</v>
      </c>
      <c r="W36" s="17" t="s">
        <v>167</v>
      </c>
      <c r="X36" s="17" t="s">
        <v>167</v>
      </c>
      <c r="Y36" s="20" t="n">
        <v>88</v>
      </c>
      <c r="Z36" s="20" t="n">
        <v>40</v>
      </c>
      <c r="AA36" s="17" t="s">
        <v>167</v>
      </c>
      <c r="AB36" s="17" t="s">
        <v>167</v>
      </c>
      <c r="AC36" s="17" t="s">
        <v>284</v>
      </c>
      <c r="AD36" s="17" t="s">
        <v>167</v>
      </c>
      <c r="AE36" s="17" t="s">
        <v>167</v>
      </c>
      <c r="AF36" s="17" t="s">
        <v>285</v>
      </c>
    </row>
    <row r="37" customFormat="false" ht="29.85" hidden="false" customHeight="false" outlineLevel="0" collapsed="false">
      <c r="A37" s="18" t="s">
        <v>209</v>
      </c>
      <c r="B37" s="17" t="s">
        <v>167</v>
      </c>
      <c r="C37" s="17" t="s">
        <v>286</v>
      </c>
      <c r="D37" s="17" t="s">
        <v>287</v>
      </c>
      <c r="E37" s="18" t="s">
        <v>82</v>
      </c>
      <c r="F37" s="17" t="s">
        <v>167</v>
      </c>
      <c r="G37" s="17" t="s">
        <v>167</v>
      </c>
      <c r="H37" s="17" t="s">
        <v>167</v>
      </c>
      <c r="I37" s="17" t="s">
        <v>167</v>
      </c>
      <c r="J37" s="17" t="s">
        <v>6</v>
      </c>
      <c r="K37" s="18" t="s">
        <v>212</v>
      </c>
      <c r="L37" s="17" t="s">
        <v>288</v>
      </c>
      <c r="M37" s="17" t="s">
        <v>167</v>
      </c>
      <c r="N37" s="17" t="s">
        <v>167</v>
      </c>
      <c r="O37" s="17" t="s">
        <v>167</v>
      </c>
      <c r="P37" s="17" t="s">
        <v>167</v>
      </c>
      <c r="Q37" s="17"/>
      <c r="R37" s="17" t="s">
        <v>167</v>
      </c>
      <c r="S37" s="17" t="s">
        <v>167</v>
      </c>
      <c r="T37" s="17" t="s">
        <v>167</v>
      </c>
      <c r="U37" s="17" t="s">
        <v>167</v>
      </c>
      <c r="V37" s="17" t="s">
        <v>167</v>
      </c>
      <c r="W37" s="17" t="s">
        <v>167</v>
      </c>
      <c r="X37" s="17" t="s">
        <v>167</v>
      </c>
      <c r="Y37" s="20" t="n">
        <v>102</v>
      </c>
      <c r="Z37" s="20" t="n">
        <v>27</v>
      </c>
      <c r="AA37" s="17" t="s">
        <v>167</v>
      </c>
      <c r="AB37" s="17" t="s">
        <v>167</v>
      </c>
      <c r="AC37" s="17" t="s">
        <v>289</v>
      </c>
      <c r="AD37" s="17" t="s">
        <v>167</v>
      </c>
      <c r="AE37" s="17" t="s">
        <v>167</v>
      </c>
      <c r="AF37" s="17"/>
    </row>
    <row r="38" customFormat="false" ht="58.2" hidden="false" customHeight="false" outlineLevel="0" collapsed="false">
      <c r="A38" s="18" t="s">
        <v>209</v>
      </c>
      <c r="B38" s="17" t="s">
        <v>167</v>
      </c>
      <c r="C38" s="17" t="s">
        <v>290</v>
      </c>
      <c r="D38" s="17" t="s">
        <v>291</v>
      </c>
      <c r="E38" s="18" t="s">
        <v>82</v>
      </c>
      <c r="F38" s="17" t="s">
        <v>167</v>
      </c>
      <c r="G38" s="17" t="s">
        <v>167</v>
      </c>
      <c r="H38" s="17" t="s">
        <v>167</v>
      </c>
      <c r="I38" s="17" t="s">
        <v>167</v>
      </c>
      <c r="J38" s="17" t="s">
        <v>6</v>
      </c>
      <c r="K38" s="18" t="s">
        <v>212</v>
      </c>
      <c r="L38" s="17" t="s">
        <v>292</v>
      </c>
      <c r="M38" s="17" t="s">
        <v>167</v>
      </c>
      <c r="N38" s="17" t="s">
        <v>167</v>
      </c>
      <c r="O38" s="17" t="s">
        <v>167</v>
      </c>
      <c r="P38" s="17" t="s">
        <v>167</v>
      </c>
      <c r="Q38" s="17"/>
      <c r="R38" s="17" t="s">
        <v>167</v>
      </c>
      <c r="S38" s="17" t="s">
        <v>167</v>
      </c>
      <c r="T38" s="17" t="s">
        <v>167</v>
      </c>
      <c r="U38" s="17" t="s">
        <v>167</v>
      </c>
      <c r="V38" s="17" t="s">
        <v>167</v>
      </c>
      <c r="W38" s="17" t="s">
        <v>167</v>
      </c>
      <c r="X38" s="17" t="s">
        <v>167</v>
      </c>
      <c r="Y38" s="20" t="n">
        <v>99</v>
      </c>
      <c r="Z38" s="20" t="n">
        <v>30</v>
      </c>
      <c r="AA38" s="17" t="s">
        <v>167</v>
      </c>
      <c r="AB38" s="17" t="s">
        <v>167</v>
      </c>
      <c r="AC38" s="17" t="s">
        <v>293</v>
      </c>
      <c r="AD38" s="17" t="s">
        <v>167</v>
      </c>
      <c r="AE38" s="17" t="s">
        <v>167</v>
      </c>
      <c r="AF38" s="17" t="s">
        <v>294</v>
      </c>
    </row>
    <row r="39" customFormat="false" ht="44" hidden="false" customHeight="false" outlineLevel="0" collapsed="false">
      <c r="A39" s="18" t="s">
        <v>209</v>
      </c>
      <c r="B39" s="17" t="s">
        <v>167</v>
      </c>
      <c r="C39" s="17" t="s">
        <v>295</v>
      </c>
      <c r="D39" s="17" t="s">
        <v>296</v>
      </c>
      <c r="E39" s="18" t="s">
        <v>82</v>
      </c>
      <c r="F39" s="17" t="s">
        <v>167</v>
      </c>
      <c r="G39" s="17" t="s">
        <v>167</v>
      </c>
      <c r="H39" s="17" t="s">
        <v>167</v>
      </c>
      <c r="I39" s="17" t="s">
        <v>167</v>
      </c>
      <c r="J39" s="17" t="s">
        <v>6</v>
      </c>
      <c r="K39" s="18" t="s">
        <v>212</v>
      </c>
      <c r="L39" s="17" t="s">
        <v>297</v>
      </c>
      <c r="M39" s="17" t="s">
        <v>167</v>
      </c>
      <c r="N39" s="17" t="s">
        <v>167</v>
      </c>
      <c r="O39" s="17" t="s">
        <v>167</v>
      </c>
      <c r="P39" s="17" t="s">
        <v>167</v>
      </c>
      <c r="Q39" s="17"/>
      <c r="R39" s="17" t="s">
        <v>167</v>
      </c>
      <c r="S39" s="17" t="s">
        <v>167</v>
      </c>
      <c r="T39" s="17" t="s">
        <v>167</v>
      </c>
      <c r="U39" s="17" t="s">
        <v>167</v>
      </c>
      <c r="V39" s="17" t="s">
        <v>167</v>
      </c>
      <c r="W39" s="17" t="s">
        <v>167</v>
      </c>
      <c r="X39" s="17" t="s">
        <v>167</v>
      </c>
      <c r="Y39" s="20" t="n">
        <v>348</v>
      </c>
      <c r="Z39" s="20" t="n">
        <v>215</v>
      </c>
      <c r="AA39" s="17" t="s">
        <v>167</v>
      </c>
      <c r="AB39" s="17" t="s">
        <v>167</v>
      </c>
      <c r="AC39" s="17" t="s">
        <v>298</v>
      </c>
      <c r="AD39" s="17" t="s">
        <v>167</v>
      </c>
      <c r="AE39" s="17" t="s">
        <v>167</v>
      </c>
      <c r="AF39" s="17"/>
    </row>
    <row r="40" customFormat="false" ht="41" hidden="false" customHeight="false" outlineLevel="0" collapsed="false">
      <c r="A40" s="18" t="s">
        <v>209</v>
      </c>
      <c r="B40" s="17" t="s">
        <v>167</v>
      </c>
      <c r="C40" s="17" t="s">
        <v>299</v>
      </c>
      <c r="D40" s="17" t="s">
        <v>300</v>
      </c>
      <c r="E40" s="18" t="s">
        <v>82</v>
      </c>
      <c r="F40" s="17" t="s">
        <v>167</v>
      </c>
      <c r="G40" s="17" t="s">
        <v>167</v>
      </c>
      <c r="H40" s="17" t="s">
        <v>167</v>
      </c>
      <c r="I40" s="17" t="s">
        <v>167</v>
      </c>
      <c r="J40" s="17" t="s">
        <v>6</v>
      </c>
      <c r="K40" s="18" t="s">
        <v>212</v>
      </c>
      <c r="L40" s="17" t="s">
        <v>301</v>
      </c>
      <c r="M40" s="17" t="s">
        <v>167</v>
      </c>
      <c r="N40" s="17" t="s">
        <v>167</v>
      </c>
      <c r="O40" s="17" t="s">
        <v>167</v>
      </c>
      <c r="P40" s="17" t="s">
        <v>167</v>
      </c>
      <c r="Q40" s="17"/>
      <c r="R40" s="17" t="s">
        <v>167</v>
      </c>
      <c r="S40" s="17" t="s">
        <v>167</v>
      </c>
      <c r="T40" s="17" t="s">
        <v>167</v>
      </c>
      <c r="U40" s="17" t="s">
        <v>167</v>
      </c>
      <c r="V40" s="17" t="s">
        <v>167</v>
      </c>
      <c r="W40" s="17" t="s">
        <v>167</v>
      </c>
      <c r="X40" s="17" t="s">
        <v>167</v>
      </c>
      <c r="Y40" s="20" t="n">
        <v>298</v>
      </c>
      <c r="Z40" s="20" t="n">
        <v>150</v>
      </c>
      <c r="AA40" s="17" t="s">
        <v>167</v>
      </c>
      <c r="AB40" s="17" t="s">
        <v>167</v>
      </c>
      <c r="AC40" s="17" t="s">
        <v>302</v>
      </c>
      <c r="AD40" s="17" t="s">
        <v>167</v>
      </c>
      <c r="AE40" s="17" t="s">
        <v>167</v>
      </c>
      <c r="AF40" s="17"/>
    </row>
    <row r="41" customFormat="false" ht="29.85" hidden="false" customHeight="false" outlineLevel="0" collapsed="false">
      <c r="A41" s="18" t="s">
        <v>209</v>
      </c>
      <c r="B41" s="17" t="s">
        <v>167</v>
      </c>
      <c r="C41" s="18" t="s">
        <v>303</v>
      </c>
      <c r="D41" s="17" t="s">
        <v>304</v>
      </c>
      <c r="E41" s="17" t="s">
        <v>167</v>
      </c>
      <c r="F41" s="17" t="s">
        <v>167</v>
      </c>
      <c r="G41" s="17" t="s">
        <v>167</v>
      </c>
      <c r="H41" s="17" t="s">
        <v>167</v>
      </c>
      <c r="I41" s="17" t="s">
        <v>167</v>
      </c>
      <c r="J41" s="17" t="s">
        <v>305</v>
      </c>
      <c r="K41" s="17" t="s">
        <v>167</v>
      </c>
      <c r="L41" s="17" t="s">
        <v>167</v>
      </c>
      <c r="M41" s="17" t="s">
        <v>167</v>
      </c>
      <c r="N41" s="17" t="s">
        <v>167</v>
      </c>
      <c r="O41" s="17" t="s">
        <v>167</v>
      </c>
      <c r="P41" s="17" t="s">
        <v>167</v>
      </c>
      <c r="Q41" s="17"/>
      <c r="R41" s="17" t="s">
        <v>167</v>
      </c>
      <c r="S41" s="17" t="s">
        <v>167</v>
      </c>
      <c r="T41" s="17" t="s">
        <v>167</v>
      </c>
      <c r="U41" s="17" t="s">
        <v>167</v>
      </c>
      <c r="V41" s="17" t="s">
        <v>167</v>
      </c>
      <c r="W41" s="17" t="s">
        <v>167</v>
      </c>
      <c r="X41" s="17" t="s">
        <v>167</v>
      </c>
      <c r="Y41" s="17" t="s">
        <v>167</v>
      </c>
      <c r="Z41" s="17" t="s">
        <v>167</v>
      </c>
      <c r="AA41" s="17" t="s">
        <v>167</v>
      </c>
      <c r="AB41" s="17" t="s">
        <v>167</v>
      </c>
      <c r="AC41" s="17" t="s">
        <v>306</v>
      </c>
      <c r="AD41" s="17" t="s">
        <v>167</v>
      </c>
      <c r="AE41" s="17" t="s">
        <v>167</v>
      </c>
      <c r="AF41" s="18" t="s">
        <v>307</v>
      </c>
    </row>
    <row r="42" customFormat="false" ht="58.2" hidden="false" customHeight="false" outlineLevel="0" collapsed="false">
      <c r="A42" s="18" t="s">
        <v>209</v>
      </c>
      <c r="B42" s="17" t="s">
        <v>167</v>
      </c>
      <c r="C42" s="18" t="s">
        <v>308</v>
      </c>
      <c r="D42" s="17" t="s">
        <v>309</v>
      </c>
      <c r="E42" s="17" t="s">
        <v>167</v>
      </c>
      <c r="F42" s="17" t="s">
        <v>167</v>
      </c>
      <c r="G42" s="17" t="s">
        <v>167</v>
      </c>
      <c r="H42" s="17" t="s">
        <v>167</v>
      </c>
      <c r="I42" s="17" t="s">
        <v>167</v>
      </c>
      <c r="J42" s="17" t="s">
        <v>305</v>
      </c>
      <c r="K42" s="17" t="s">
        <v>167</v>
      </c>
      <c r="L42" s="17" t="s">
        <v>167</v>
      </c>
      <c r="M42" s="17" t="s">
        <v>167</v>
      </c>
      <c r="N42" s="17" t="s">
        <v>167</v>
      </c>
      <c r="O42" s="17" t="s">
        <v>167</v>
      </c>
      <c r="P42" s="17" t="s">
        <v>167</v>
      </c>
      <c r="Q42" s="17"/>
      <c r="R42" s="17" t="s">
        <v>167</v>
      </c>
      <c r="S42" s="17" t="s">
        <v>167</v>
      </c>
      <c r="T42" s="17" t="s">
        <v>167</v>
      </c>
      <c r="U42" s="17" t="s">
        <v>167</v>
      </c>
      <c r="V42" s="17" t="s">
        <v>167</v>
      </c>
      <c r="W42" s="17" t="s">
        <v>167</v>
      </c>
      <c r="X42" s="17" t="s">
        <v>167</v>
      </c>
      <c r="Y42" s="17" t="s">
        <v>167</v>
      </c>
      <c r="Z42" s="17" t="s">
        <v>167</v>
      </c>
      <c r="AA42" s="17" t="s">
        <v>167</v>
      </c>
      <c r="AB42" s="17" t="s">
        <v>167</v>
      </c>
      <c r="AC42" s="18" t="s">
        <v>103</v>
      </c>
      <c r="AD42" s="17" t="s">
        <v>167</v>
      </c>
      <c r="AE42" s="17" t="s">
        <v>167</v>
      </c>
      <c r="AF42" s="17" t="s">
        <v>310</v>
      </c>
    </row>
  </sheetData>
  <autoFilter ref="A1:AF42"/>
  <mergeCells count="4">
    <mergeCell ref="A2:AF2"/>
    <mergeCell ref="A10:AF10"/>
    <mergeCell ref="A15:AF15"/>
    <mergeCell ref="A18:AF18"/>
  </mergeCells>
  <conditionalFormatting sqref="M2:M42">
    <cfRule type="cellIs" priority="2" operator="equal" aboveAverage="0" equalAverage="0" bottom="0" percent="0" rank="0" text="" dxfId="9">
      <formula>"标准"</formula>
    </cfRule>
    <cfRule type="cellIs" priority="3" operator="equal" aboveAverage="0" equalAverage="0" bottom="0" percent="0" rank="0" text="" dxfId="10">
      <formula>"需定制"</formula>
    </cfRule>
    <cfRule type="cellIs" priority="4" operator="equal" aboveAverage="0" equalAverage="0" bottom="0" percent="0" rank="0" text="" dxfId="11">
      <formula>"待验证"</formula>
    </cfRule>
    <cfRule type="cellIs" priority="5" operator="equal" aboveAverage="0" equalAverage="0" bottom="0" percent="0" rank="0" text="" dxfId="12">
      <formula>"不支持"</formula>
    </cfRule>
    <cfRule type="cellIs" priority="6" operator="equal" aboveAverage="0" equalAverage="0" bottom="0" percent="0" rank="0" text="" dxfId="13">
      <formula>"待确认"</formula>
    </cfRule>
  </conditionalFormatting>
  <conditionalFormatting sqref="N2:N42">
    <cfRule type="cellIs" priority="7" operator="equal" aboveAverage="0" equalAverage="0" bottom="0" percent="0" rank="0" text="" dxfId="9">
      <formula>"标准"</formula>
    </cfRule>
    <cfRule type="cellIs" priority="8" operator="equal" aboveAverage="0" equalAverage="0" bottom="0" percent="0" rank="0" text="" dxfId="10">
      <formula>"需定制"</formula>
    </cfRule>
    <cfRule type="cellIs" priority="9" operator="equal" aboveAverage="0" equalAverage="0" bottom="0" percent="0" rank="0" text="" dxfId="11">
      <formula>"待验证"</formula>
    </cfRule>
    <cfRule type="cellIs" priority="10" operator="equal" aboveAverage="0" equalAverage="0" bottom="0" percent="0" rank="0" text="" dxfId="12">
      <formula>"不支持"</formula>
    </cfRule>
    <cfRule type="cellIs" priority="11" operator="equal" aboveAverage="0" equalAverage="0" bottom="0" percent="0" rank="0" text="" dxfId="13">
      <formula>"待确认"</formula>
    </cfRule>
  </conditionalFormatting>
  <conditionalFormatting sqref="O2:O42">
    <cfRule type="cellIs" priority="12" operator="equal" aboveAverage="0" equalAverage="0" bottom="0" percent="0" rank="0" text="" dxfId="9">
      <formula>"标准"</formula>
    </cfRule>
    <cfRule type="cellIs" priority="13" operator="equal" aboveAverage="0" equalAverage="0" bottom="0" percent="0" rank="0" text="" dxfId="10">
      <formula>"需定制"</formula>
    </cfRule>
    <cfRule type="cellIs" priority="14" operator="equal" aboveAverage="0" equalAverage="0" bottom="0" percent="0" rank="0" text="" dxfId="11">
      <formula>"待验证"</formula>
    </cfRule>
    <cfRule type="cellIs" priority="15" operator="equal" aboveAverage="0" equalAverage="0" bottom="0" percent="0" rank="0" text="" dxfId="12">
      <formula>"不支持"</formula>
    </cfRule>
    <cfRule type="cellIs" priority="16" operator="equal" aboveAverage="0" equalAverage="0" bottom="0" percent="0" rank="0" text="" dxfId="13">
      <formula>"待确认"</formula>
    </cfRule>
  </conditionalFormatting>
  <conditionalFormatting sqref="P2:P42">
    <cfRule type="cellIs" priority="17" operator="equal" aboveAverage="0" equalAverage="0" bottom="0" percent="0" rank="0" text="" dxfId="9">
      <formula>"标准"</formula>
    </cfRule>
    <cfRule type="cellIs" priority="18" operator="equal" aboveAverage="0" equalAverage="0" bottom="0" percent="0" rank="0" text="" dxfId="10">
      <formula>"需定制"</formula>
    </cfRule>
    <cfRule type="cellIs" priority="19" operator="equal" aboveAverage="0" equalAverage="0" bottom="0" percent="0" rank="0" text="" dxfId="11">
      <formula>"待验证"</formula>
    </cfRule>
    <cfRule type="cellIs" priority="20" operator="equal" aboveAverage="0" equalAverage="0" bottom="0" percent="0" rank="0" text="" dxfId="12">
      <formula>"不支持"</formula>
    </cfRule>
    <cfRule type="cellIs" priority="21" operator="equal" aboveAverage="0" equalAverage="0" bottom="0" percent="0" rank="0" text="" dxfId="13">
      <formula>"待确认"</formula>
    </cfRule>
  </conditionalFormatting>
  <dataValidations count="1">
    <dataValidation allowBlank="true" errorStyle="stop" operator="between" showDropDown="false" showErrorMessage="false" showInputMessage="false" sqref="M2:P42" type="list">
      <formula1>"标准,需定制,待验证,不支持,待确认,不适用"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29.85" hidden="false" customHeight="false" outlineLevel="0" collapsed="false">
      <c r="A1" s="22" t="s">
        <v>311</v>
      </c>
      <c r="B1" s="22" t="s">
        <v>312</v>
      </c>
      <c r="C1" s="23" t="s">
        <v>313</v>
      </c>
      <c r="D1" s="23" t="s">
        <v>314</v>
      </c>
      <c r="E1" s="23" t="s">
        <v>74</v>
      </c>
      <c r="F1" s="23" t="s">
        <v>75</v>
      </c>
      <c r="G1" s="23" t="s">
        <v>315</v>
      </c>
      <c r="H1" s="23" t="s">
        <v>316</v>
      </c>
      <c r="I1" s="23" t="s">
        <v>76</v>
      </c>
    </row>
    <row r="2" customFormat="false" ht="29.85" hidden="false" customHeight="false" outlineLevel="0" collapsed="false">
      <c r="A2" s="24" t="n">
        <v>1</v>
      </c>
      <c r="B2" s="24" t="s">
        <v>80</v>
      </c>
      <c r="C2" s="25" t="s">
        <v>317</v>
      </c>
      <c r="D2" s="24" t="s">
        <v>318</v>
      </c>
      <c r="E2" s="25" t="s">
        <v>131</v>
      </c>
      <c r="F2" s="24" t="s">
        <v>92</v>
      </c>
      <c r="G2" s="26" t="s">
        <v>319</v>
      </c>
      <c r="H2" s="27" t="s">
        <v>320</v>
      </c>
      <c r="I2" s="24"/>
    </row>
    <row r="3" customFormat="false" ht="29.85" hidden="false" customHeight="false" outlineLevel="0" collapsed="false">
      <c r="A3" s="24" t="n">
        <v>2</v>
      </c>
      <c r="B3" s="24" t="s">
        <v>80</v>
      </c>
      <c r="C3" s="24" t="s">
        <v>321</v>
      </c>
      <c r="D3" s="24" t="s">
        <v>322</v>
      </c>
      <c r="E3" s="25" t="s">
        <v>131</v>
      </c>
      <c r="F3" s="24" t="s">
        <v>92</v>
      </c>
      <c r="G3" s="26" t="s">
        <v>319</v>
      </c>
      <c r="H3" s="27" t="s">
        <v>320</v>
      </c>
      <c r="I3" s="24"/>
    </row>
    <row r="4" customFormat="false" ht="29.85" hidden="false" customHeight="false" outlineLevel="0" collapsed="false">
      <c r="A4" s="24" t="n">
        <v>3</v>
      </c>
      <c r="B4" s="24" t="s">
        <v>80</v>
      </c>
      <c r="C4" s="25" t="s">
        <v>323</v>
      </c>
      <c r="D4" s="24" t="s">
        <v>324</v>
      </c>
      <c r="E4" s="25" t="s">
        <v>131</v>
      </c>
      <c r="F4" s="24" t="s">
        <v>92</v>
      </c>
      <c r="G4" s="26" t="s">
        <v>319</v>
      </c>
      <c r="H4" s="27" t="s">
        <v>320</v>
      </c>
      <c r="I4" s="24"/>
    </row>
    <row r="5" customFormat="false" ht="15" hidden="false" customHeight="false" outlineLevel="0" collapsed="false">
      <c r="A5" s="24" t="n">
        <v>4</v>
      </c>
      <c r="B5" s="24" t="s">
        <v>80</v>
      </c>
      <c r="C5" s="25" t="s">
        <v>325</v>
      </c>
      <c r="D5" s="24" t="s">
        <v>326</v>
      </c>
      <c r="E5" s="25" t="s">
        <v>327</v>
      </c>
      <c r="F5" s="24" t="s">
        <v>92</v>
      </c>
      <c r="G5" s="26" t="s">
        <v>319</v>
      </c>
      <c r="H5" s="27" t="s">
        <v>328</v>
      </c>
      <c r="I5" s="24"/>
    </row>
    <row r="6" customFormat="false" ht="29.85" hidden="false" customHeight="false" outlineLevel="0" collapsed="false">
      <c r="A6" s="24" t="n">
        <v>5</v>
      </c>
      <c r="B6" s="24" t="s">
        <v>80</v>
      </c>
      <c r="C6" s="25" t="s">
        <v>329</v>
      </c>
      <c r="D6" s="24" t="s">
        <v>330</v>
      </c>
      <c r="E6" s="25" t="s">
        <v>131</v>
      </c>
      <c r="F6" s="24" t="s">
        <v>92</v>
      </c>
      <c r="G6" s="26" t="s">
        <v>319</v>
      </c>
      <c r="H6" s="27" t="s">
        <v>320</v>
      </c>
      <c r="I6" s="24"/>
    </row>
    <row r="7" customFormat="false" ht="29.85" hidden="false" customHeight="false" outlineLevel="0" collapsed="false">
      <c r="A7" s="24" t="n">
        <v>6</v>
      </c>
      <c r="B7" s="24" t="s">
        <v>80</v>
      </c>
      <c r="C7" s="25" t="s">
        <v>331</v>
      </c>
      <c r="D7" s="24" t="s">
        <v>332</v>
      </c>
      <c r="E7" s="25" t="s">
        <v>333</v>
      </c>
      <c r="F7" s="24" t="s">
        <v>92</v>
      </c>
      <c r="G7" s="26" t="s">
        <v>334</v>
      </c>
      <c r="H7" s="27" t="s">
        <v>335</v>
      </c>
      <c r="I7" s="24"/>
    </row>
    <row r="8" customFormat="false" ht="29.85" hidden="false" customHeight="false" outlineLevel="0" collapsed="false">
      <c r="A8" s="24" t="n">
        <v>7</v>
      </c>
      <c r="B8" s="24" t="s">
        <v>80</v>
      </c>
      <c r="C8" s="25" t="s">
        <v>336</v>
      </c>
      <c r="D8" s="24" t="s">
        <v>337</v>
      </c>
      <c r="E8" s="24" t="s">
        <v>338</v>
      </c>
      <c r="F8" s="24" t="s">
        <v>339</v>
      </c>
      <c r="G8" s="26" t="s">
        <v>319</v>
      </c>
      <c r="H8" s="27" t="s">
        <v>320</v>
      </c>
      <c r="I8" s="24"/>
    </row>
    <row r="9" customFormat="false" ht="44" hidden="false" customHeight="false" outlineLevel="0" collapsed="false">
      <c r="A9" s="24" t="n">
        <v>8</v>
      </c>
      <c r="B9" s="24" t="s">
        <v>340</v>
      </c>
      <c r="C9" s="25" t="s">
        <v>341</v>
      </c>
      <c r="D9" s="24" t="s">
        <v>318</v>
      </c>
      <c r="E9" s="25" t="s">
        <v>342</v>
      </c>
      <c r="F9" s="24" t="s">
        <v>92</v>
      </c>
      <c r="G9" s="26" t="s">
        <v>319</v>
      </c>
      <c r="H9" s="27" t="s">
        <v>343</v>
      </c>
      <c r="I9" s="24"/>
    </row>
    <row r="10" customFormat="false" ht="29.85" hidden="false" customHeight="false" outlineLevel="0" collapsed="false">
      <c r="A10" s="24" t="n">
        <v>9</v>
      </c>
      <c r="B10" s="24" t="s">
        <v>340</v>
      </c>
      <c r="C10" s="25" t="s">
        <v>344</v>
      </c>
      <c r="D10" s="24" t="s">
        <v>332</v>
      </c>
      <c r="E10" s="25" t="s">
        <v>345</v>
      </c>
      <c r="F10" s="24" t="s">
        <v>92</v>
      </c>
      <c r="G10" s="26" t="s">
        <v>334</v>
      </c>
      <c r="H10" s="27" t="s">
        <v>335</v>
      </c>
      <c r="I10" s="24"/>
    </row>
    <row r="11" customFormat="false" ht="29.85" hidden="false" customHeight="false" outlineLevel="0" collapsed="false">
      <c r="A11" s="24" t="n">
        <v>10</v>
      </c>
      <c r="B11" s="24" t="s">
        <v>340</v>
      </c>
      <c r="C11" s="25" t="s">
        <v>346</v>
      </c>
      <c r="D11" s="24" t="s">
        <v>347</v>
      </c>
      <c r="E11" s="25" t="s">
        <v>131</v>
      </c>
      <c r="F11" s="24" t="s">
        <v>92</v>
      </c>
      <c r="G11" s="26" t="s">
        <v>319</v>
      </c>
      <c r="H11" s="27" t="s">
        <v>320</v>
      </c>
      <c r="I11" s="24"/>
    </row>
    <row r="12" customFormat="false" ht="41" hidden="false" customHeight="false" outlineLevel="0" collapsed="false">
      <c r="A12" s="24" t="n">
        <v>11</v>
      </c>
      <c r="B12" s="24" t="s">
        <v>340</v>
      </c>
      <c r="C12" s="25" t="s">
        <v>348</v>
      </c>
      <c r="D12" s="24" t="s">
        <v>349</v>
      </c>
      <c r="E12" s="24" t="s">
        <v>350</v>
      </c>
      <c r="F12" s="24" t="s">
        <v>92</v>
      </c>
      <c r="G12" s="26" t="s">
        <v>351</v>
      </c>
      <c r="H12" s="27" t="s">
        <v>352</v>
      </c>
      <c r="I12" s="24"/>
    </row>
    <row r="13" customFormat="false" ht="29.85" hidden="false" customHeight="false" outlineLevel="0" collapsed="false">
      <c r="A13" s="24" t="n">
        <v>12</v>
      </c>
      <c r="B13" s="24" t="s">
        <v>107</v>
      </c>
      <c r="C13" s="25" t="s">
        <v>353</v>
      </c>
      <c r="D13" s="24" t="s">
        <v>354</v>
      </c>
      <c r="E13" s="25" t="s">
        <v>131</v>
      </c>
      <c r="F13" s="24" t="s">
        <v>92</v>
      </c>
      <c r="G13" s="26" t="s">
        <v>319</v>
      </c>
      <c r="H13" s="27" t="s">
        <v>320</v>
      </c>
      <c r="I13" s="24"/>
    </row>
    <row r="14" customFormat="false" ht="29.85" hidden="false" customHeight="false" outlineLevel="0" collapsed="false">
      <c r="A14" s="24" t="n">
        <v>13</v>
      </c>
      <c r="B14" s="24" t="s">
        <v>107</v>
      </c>
      <c r="C14" s="25" t="s">
        <v>355</v>
      </c>
      <c r="D14" s="24" t="s">
        <v>347</v>
      </c>
      <c r="E14" s="25" t="s">
        <v>131</v>
      </c>
      <c r="F14" s="24" t="s">
        <v>92</v>
      </c>
      <c r="G14" s="26" t="s">
        <v>319</v>
      </c>
      <c r="H14" s="27" t="s">
        <v>320</v>
      </c>
      <c r="I14" s="24"/>
    </row>
    <row r="15" customFormat="false" ht="29.85" hidden="false" customHeight="false" outlineLevel="0" collapsed="false">
      <c r="A15" s="24" t="n">
        <v>14</v>
      </c>
      <c r="B15" s="24" t="s">
        <v>107</v>
      </c>
      <c r="C15" s="25" t="s">
        <v>356</v>
      </c>
      <c r="D15" s="24" t="s">
        <v>357</v>
      </c>
      <c r="E15" s="25" t="s">
        <v>345</v>
      </c>
      <c r="F15" s="24" t="s">
        <v>92</v>
      </c>
      <c r="G15" s="26" t="s">
        <v>334</v>
      </c>
      <c r="H15" s="27" t="s">
        <v>335</v>
      </c>
      <c r="I15" s="24"/>
    </row>
    <row r="16" customFormat="false" ht="29.85" hidden="false" customHeight="false" outlineLevel="0" collapsed="false">
      <c r="A16" s="24" t="n">
        <v>15</v>
      </c>
      <c r="B16" s="24" t="s">
        <v>107</v>
      </c>
      <c r="C16" s="25" t="s">
        <v>358</v>
      </c>
      <c r="D16" s="24" t="s">
        <v>359</v>
      </c>
      <c r="E16" s="25" t="s">
        <v>360</v>
      </c>
      <c r="F16" s="24" t="s">
        <v>92</v>
      </c>
      <c r="G16" s="26" t="s">
        <v>351</v>
      </c>
      <c r="H16" s="27" t="s">
        <v>361</v>
      </c>
      <c r="I16" s="24"/>
    </row>
    <row r="17" customFormat="false" ht="29.85" hidden="false" customHeight="false" outlineLevel="0" collapsed="false">
      <c r="A17" s="24" t="n">
        <v>16</v>
      </c>
      <c r="B17" s="24" t="s">
        <v>119</v>
      </c>
      <c r="C17" s="25" t="s">
        <v>362</v>
      </c>
      <c r="D17" s="24" t="s">
        <v>363</v>
      </c>
      <c r="E17" s="25" t="s">
        <v>131</v>
      </c>
      <c r="F17" s="24" t="s">
        <v>92</v>
      </c>
      <c r="G17" s="26" t="s">
        <v>319</v>
      </c>
      <c r="H17" s="27" t="s">
        <v>320</v>
      </c>
      <c r="I17" s="24"/>
    </row>
    <row r="18" customFormat="false" ht="29.85" hidden="false" customHeight="false" outlineLevel="0" collapsed="false">
      <c r="A18" s="24" t="n">
        <v>17</v>
      </c>
      <c r="B18" s="24" t="s">
        <v>126</v>
      </c>
      <c r="C18" s="25" t="s">
        <v>364</v>
      </c>
      <c r="D18" s="24" t="s">
        <v>363</v>
      </c>
      <c r="E18" s="25" t="s">
        <v>131</v>
      </c>
      <c r="F18" s="24" t="s">
        <v>92</v>
      </c>
      <c r="G18" s="26" t="s">
        <v>319</v>
      </c>
      <c r="H18" s="27" t="s">
        <v>320</v>
      </c>
      <c r="I18" s="24"/>
    </row>
    <row r="19" customFormat="false" ht="15" hidden="false" customHeight="false" outlineLevel="0" collapsed="false">
      <c r="A19" s="24" t="n">
        <v>18</v>
      </c>
      <c r="B19" s="24" t="s">
        <v>365</v>
      </c>
      <c r="C19" s="25" t="s">
        <v>366</v>
      </c>
      <c r="D19" s="24" t="s">
        <v>326</v>
      </c>
      <c r="E19" s="25" t="s">
        <v>327</v>
      </c>
      <c r="F19" s="24" t="s">
        <v>156</v>
      </c>
      <c r="G19" s="26" t="s">
        <v>319</v>
      </c>
      <c r="H19" s="27" t="s">
        <v>328</v>
      </c>
      <c r="I19" s="24"/>
    </row>
    <row r="20" customFormat="false" ht="29.85" hidden="false" customHeight="false" outlineLevel="0" collapsed="false">
      <c r="A20" s="24" t="n">
        <v>19</v>
      </c>
      <c r="B20" s="24" t="s">
        <v>365</v>
      </c>
      <c r="C20" s="24" t="s">
        <v>367</v>
      </c>
      <c r="D20" s="24" t="s">
        <v>357</v>
      </c>
      <c r="E20" s="25" t="s">
        <v>131</v>
      </c>
      <c r="F20" s="24" t="s">
        <v>156</v>
      </c>
      <c r="G20" s="26" t="s">
        <v>319</v>
      </c>
      <c r="H20" s="27" t="s">
        <v>320</v>
      </c>
      <c r="I20" s="24"/>
    </row>
    <row r="21" customFormat="false" ht="44" hidden="false" customHeight="false" outlineLevel="0" collapsed="false">
      <c r="A21" s="24" t="n">
        <v>20</v>
      </c>
      <c r="B21" s="25" t="s">
        <v>368</v>
      </c>
      <c r="C21" s="25" t="s">
        <v>369</v>
      </c>
      <c r="D21" s="24" t="s">
        <v>354</v>
      </c>
      <c r="E21" s="25" t="s">
        <v>370</v>
      </c>
      <c r="F21" s="24" t="s">
        <v>156</v>
      </c>
      <c r="G21" s="26" t="s">
        <v>319</v>
      </c>
      <c r="H21" s="27" t="s">
        <v>343</v>
      </c>
      <c r="I21" s="24"/>
    </row>
    <row r="22" customFormat="false" ht="29.85" hidden="false" customHeight="false" outlineLevel="0" collapsed="false">
      <c r="A22" s="24" t="n">
        <v>21</v>
      </c>
      <c r="B22" s="25" t="s">
        <v>368</v>
      </c>
      <c r="C22" s="25" t="s">
        <v>371</v>
      </c>
      <c r="D22" s="24" t="s">
        <v>357</v>
      </c>
      <c r="E22" s="25" t="s">
        <v>131</v>
      </c>
      <c r="F22" s="24" t="s">
        <v>372</v>
      </c>
      <c r="G22" s="26" t="s">
        <v>319</v>
      </c>
      <c r="H22" s="27" t="s">
        <v>320</v>
      </c>
      <c r="I22" s="24"/>
    </row>
    <row r="23" customFormat="false" ht="29.85" hidden="false" customHeight="false" outlineLevel="0" collapsed="false">
      <c r="A23" s="24" t="n">
        <v>22</v>
      </c>
      <c r="B23" s="24" t="s">
        <v>171</v>
      </c>
      <c r="C23" s="25" t="s">
        <v>373</v>
      </c>
      <c r="D23" s="24" t="s">
        <v>374</v>
      </c>
      <c r="E23" s="25" t="s">
        <v>345</v>
      </c>
      <c r="F23" s="24" t="s">
        <v>156</v>
      </c>
      <c r="G23" s="26" t="s">
        <v>334</v>
      </c>
      <c r="H23" s="27" t="s">
        <v>335</v>
      </c>
      <c r="I23" s="24"/>
    </row>
    <row r="24" customFormat="false" ht="29.85" hidden="false" customHeight="false" outlineLevel="0" collapsed="false">
      <c r="A24" s="24" t="n">
        <v>23</v>
      </c>
      <c r="B24" s="24" t="s">
        <v>171</v>
      </c>
      <c r="C24" s="24" t="s">
        <v>375</v>
      </c>
      <c r="D24" s="24" t="s">
        <v>376</v>
      </c>
      <c r="E24" s="25" t="s">
        <v>131</v>
      </c>
      <c r="F24" s="24" t="s">
        <v>156</v>
      </c>
      <c r="G24" s="26" t="s">
        <v>319</v>
      </c>
      <c r="H24" s="27" t="s">
        <v>320</v>
      </c>
      <c r="I24" s="24"/>
    </row>
    <row r="25" customFormat="false" ht="15" hidden="false" customHeight="false" outlineLevel="0" collapsed="false">
      <c r="A25" s="24" t="n">
        <v>24</v>
      </c>
      <c r="B25" s="24" t="s">
        <v>171</v>
      </c>
      <c r="C25" s="25" t="s">
        <v>377</v>
      </c>
      <c r="D25" s="24" t="s">
        <v>337</v>
      </c>
      <c r="E25" s="24" t="s">
        <v>378</v>
      </c>
      <c r="F25" s="24" t="s">
        <v>372</v>
      </c>
      <c r="G25" s="26" t="s">
        <v>379</v>
      </c>
      <c r="H25" s="27" t="s">
        <v>380</v>
      </c>
      <c r="I25" s="24"/>
    </row>
    <row r="26" customFormat="false" ht="15" hidden="false" customHeight="false" outlineLevel="0" collapsed="false">
      <c r="A26" s="24" t="n">
        <v>25</v>
      </c>
      <c r="B26" s="25" t="s">
        <v>381</v>
      </c>
      <c r="C26" s="25" t="s">
        <v>382</v>
      </c>
      <c r="D26" s="24" t="s">
        <v>349</v>
      </c>
      <c r="E26" s="24" t="s">
        <v>378</v>
      </c>
      <c r="F26" s="24" t="s">
        <v>383</v>
      </c>
      <c r="G26" s="26" t="s">
        <v>379</v>
      </c>
      <c r="H26" s="27" t="s">
        <v>380</v>
      </c>
      <c r="I26" s="24"/>
    </row>
    <row r="27" customFormat="false" ht="29.85" hidden="false" customHeight="false" outlineLevel="0" collapsed="false">
      <c r="A27" s="24" t="n">
        <v>26</v>
      </c>
      <c r="B27" s="25" t="s">
        <v>381</v>
      </c>
      <c r="C27" s="25" t="s">
        <v>384</v>
      </c>
      <c r="D27" s="24" t="s">
        <v>167</v>
      </c>
      <c r="E27" s="24" t="s">
        <v>385</v>
      </c>
      <c r="F27" s="25" t="s">
        <v>386</v>
      </c>
      <c r="G27" s="26" t="s">
        <v>387</v>
      </c>
      <c r="H27" s="26" t="s">
        <v>388</v>
      </c>
      <c r="I27" s="24"/>
    </row>
    <row r="28" customFormat="false" ht="72.35" hidden="false" customHeight="false" outlineLevel="0" collapsed="false">
      <c r="A28" s="24" t="n">
        <v>27</v>
      </c>
      <c r="B28" s="25" t="s">
        <v>381</v>
      </c>
      <c r="C28" s="25" t="s">
        <v>389</v>
      </c>
      <c r="D28" s="24" t="s">
        <v>349</v>
      </c>
      <c r="E28" s="24" t="s">
        <v>390</v>
      </c>
      <c r="F28" s="24" t="s">
        <v>92</v>
      </c>
      <c r="G28" s="26" t="s">
        <v>391</v>
      </c>
      <c r="H28" s="27" t="s">
        <v>392</v>
      </c>
      <c r="I28" s="24"/>
    </row>
    <row r="29" customFormat="false" ht="15" hidden="false" customHeight="false" outlineLevel="0" collapsed="false">
      <c r="A29" s="24" t="n">
        <v>28</v>
      </c>
      <c r="B29" s="24" t="s">
        <v>191</v>
      </c>
      <c r="C29" s="25" t="s">
        <v>393</v>
      </c>
      <c r="D29" s="24" t="s">
        <v>394</v>
      </c>
      <c r="E29" s="25" t="s">
        <v>206</v>
      </c>
      <c r="F29" s="24" t="s">
        <v>201</v>
      </c>
      <c r="G29" s="26" t="s">
        <v>387</v>
      </c>
      <c r="H29" s="27"/>
      <c r="I29" s="24"/>
    </row>
    <row r="30" customFormat="false" ht="29.85" hidden="false" customHeight="false" outlineLevel="0" collapsed="false">
      <c r="A30" s="24" t="n">
        <v>29</v>
      </c>
      <c r="B30" s="25" t="s">
        <v>381</v>
      </c>
      <c r="C30" s="25" t="s">
        <v>395</v>
      </c>
      <c r="D30" s="24" t="s">
        <v>167</v>
      </c>
      <c r="E30" s="24" t="s">
        <v>396</v>
      </c>
      <c r="F30" s="24" t="s">
        <v>397</v>
      </c>
      <c r="G30" s="26" t="s">
        <v>319</v>
      </c>
      <c r="H30" s="27" t="s">
        <v>398</v>
      </c>
      <c r="I30" s="24"/>
    </row>
    <row r="31" customFormat="false" ht="44" hidden="false" customHeight="false" outlineLevel="0" collapsed="false">
      <c r="A31" s="24" t="n">
        <v>30</v>
      </c>
      <c r="B31" s="25" t="s">
        <v>381</v>
      </c>
      <c r="C31" s="24" t="s">
        <v>399</v>
      </c>
      <c r="D31" s="24" t="s">
        <v>330</v>
      </c>
      <c r="E31" s="24" t="s">
        <v>400</v>
      </c>
      <c r="F31" s="24" t="s">
        <v>92</v>
      </c>
      <c r="G31" s="26" t="s">
        <v>319</v>
      </c>
      <c r="H31" s="27" t="s">
        <v>320</v>
      </c>
      <c r="I31" s="24"/>
    </row>
    <row r="32" customFormat="false" ht="29.85" hidden="false" customHeight="false" outlineLevel="0" collapsed="false">
      <c r="A32" s="24" t="n">
        <v>31</v>
      </c>
      <c r="B32" s="24" t="s">
        <v>401</v>
      </c>
      <c r="C32" s="24" t="s">
        <v>402</v>
      </c>
      <c r="D32" s="24" t="s">
        <v>318</v>
      </c>
      <c r="E32" s="25" t="s">
        <v>131</v>
      </c>
      <c r="F32" s="25" t="s">
        <v>209</v>
      </c>
      <c r="G32" s="26" t="s">
        <v>319</v>
      </c>
      <c r="H32" s="27" t="s">
        <v>320</v>
      </c>
      <c r="I32" s="24"/>
    </row>
    <row r="33" customFormat="false" ht="29.85" hidden="false" customHeight="false" outlineLevel="0" collapsed="false">
      <c r="A33" s="24" t="n">
        <v>32</v>
      </c>
      <c r="B33" s="25" t="s">
        <v>381</v>
      </c>
      <c r="C33" s="24" t="s">
        <v>403</v>
      </c>
      <c r="D33" s="24" t="s">
        <v>332</v>
      </c>
      <c r="E33" s="25" t="s">
        <v>333</v>
      </c>
      <c r="F33" s="24" t="s">
        <v>92</v>
      </c>
      <c r="G33" s="26" t="s">
        <v>334</v>
      </c>
      <c r="H33" s="27" t="s">
        <v>335</v>
      </c>
      <c r="I33" s="24"/>
    </row>
    <row r="34" customFormat="false" ht="29.85" hidden="false" customHeight="false" outlineLevel="0" collapsed="false">
      <c r="A34" s="24" t="n">
        <v>33</v>
      </c>
      <c r="B34" s="25" t="s">
        <v>381</v>
      </c>
      <c r="C34" s="24" t="s">
        <v>404</v>
      </c>
      <c r="D34" s="24" t="s">
        <v>349</v>
      </c>
      <c r="E34" s="24" t="s">
        <v>405</v>
      </c>
      <c r="F34" s="24" t="s">
        <v>207</v>
      </c>
      <c r="G34" s="26" t="s">
        <v>351</v>
      </c>
      <c r="H34" s="27" t="s">
        <v>361</v>
      </c>
      <c r="I34" s="24"/>
    </row>
    <row r="35" customFormat="false" ht="29.85" hidden="false" customHeight="false" outlineLevel="0" collapsed="false">
      <c r="A35" s="24" t="n">
        <v>34</v>
      </c>
      <c r="B35" s="25" t="s">
        <v>381</v>
      </c>
      <c r="C35" s="25" t="s">
        <v>406</v>
      </c>
      <c r="D35" s="24" t="s">
        <v>167</v>
      </c>
      <c r="E35" s="24" t="s">
        <v>396</v>
      </c>
      <c r="F35" s="24" t="s">
        <v>201</v>
      </c>
      <c r="G35" s="26" t="s">
        <v>319</v>
      </c>
      <c r="H35" s="27" t="s">
        <v>398</v>
      </c>
      <c r="I35" s="24"/>
    </row>
    <row r="36" customFormat="false" ht="29.85" hidden="false" customHeight="false" outlineLevel="0" collapsed="false">
      <c r="A36" s="24" t="n">
        <v>35</v>
      </c>
      <c r="B36" s="25" t="s">
        <v>407</v>
      </c>
      <c r="C36" s="25" t="s">
        <v>408</v>
      </c>
      <c r="D36" s="24" t="s">
        <v>167</v>
      </c>
      <c r="E36" s="24" t="s">
        <v>396</v>
      </c>
      <c r="F36" s="24" t="s">
        <v>397</v>
      </c>
      <c r="G36" s="26" t="s">
        <v>319</v>
      </c>
      <c r="H36" s="27" t="s">
        <v>398</v>
      </c>
      <c r="I36" s="24"/>
    </row>
    <row r="37" customFormat="false" ht="29.85" hidden="false" customHeight="false" outlineLevel="0" collapsed="false">
      <c r="A37" s="24" t="n">
        <v>36</v>
      </c>
      <c r="B37" s="24" t="s">
        <v>210</v>
      </c>
      <c r="C37" s="24" t="s">
        <v>409</v>
      </c>
      <c r="D37" s="24" t="s">
        <v>318</v>
      </c>
      <c r="E37" s="25" t="s">
        <v>131</v>
      </c>
      <c r="F37" s="24" t="s">
        <v>156</v>
      </c>
      <c r="G37" s="26" t="s">
        <v>319</v>
      </c>
      <c r="H37" s="27" t="s">
        <v>320</v>
      </c>
      <c r="I37" s="24"/>
    </row>
  </sheetData>
  <dataValidations count="1">
    <dataValidation allowBlank="true" errorStyle="stop" operator="between" showDropDown="false" showErrorMessage="false" showInputMessage="false" sqref="G2:G37" type="list">
      <formula1>"未发出,已发出,部分回复,已回复,未答,已补齐,阻塞"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23" t="s">
        <v>410</v>
      </c>
      <c r="B1" s="23" t="s">
        <v>411</v>
      </c>
      <c r="C1" s="23" t="s">
        <v>412</v>
      </c>
      <c r="D1" s="23" t="s">
        <v>413</v>
      </c>
      <c r="E1" s="23" t="s">
        <v>414</v>
      </c>
    </row>
    <row r="2" customFormat="false" ht="23.85" hidden="false" customHeight="false" outlineLevel="0" collapsed="false">
      <c r="A2" s="24" t="s">
        <v>415</v>
      </c>
      <c r="B2" s="24" t="s">
        <v>416</v>
      </c>
      <c r="C2" s="24" t="s">
        <v>417</v>
      </c>
      <c r="D2" s="24" t="s">
        <v>418</v>
      </c>
      <c r="E2" s="25" t="s">
        <v>419</v>
      </c>
    </row>
    <row r="3" customFormat="false" ht="26.85" hidden="false" customHeight="false" outlineLevel="0" collapsed="false">
      <c r="A3" s="24" t="s">
        <v>415</v>
      </c>
      <c r="B3" s="24" t="s">
        <v>420</v>
      </c>
      <c r="C3" s="25" t="s">
        <v>421</v>
      </c>
      <c r="D3" s="25" t="s">
        <v>422</v>
      </c>
      <c r="E3" s="25" t="s">
        <v>419</v>
      </c>
    </row>
    <row r="4" customFormat="false" ht="15" hidden="false" customHeight="false" outlineLevel="0" collapsed="false">
      <c r="A4" s="24" t="s">
        <v>423</v>
      </c>
      <c r="B4" s="24" t="s">
        <v>424</v>
      </c>
      <c r="C4" s="25" t="s">
        <v>425</v>
      </c>
      <c r="D4" s="25" t="s">
        <v>426</v>
      </c>
      <c r="E4" s="25" t="s">
        <v>419</v>
      </c>
    </row>
    <row r="5" customFormat="false" ht="29.85" hidden="false" customHeight="false" outlineLevel="0" collapsed="false">
      <c r="A5" s="24" t="s">
        <v>427</v>
      </c>
      <c r="B5" s="24" t="s">
        <v>428</v>
      </c>
      <c r="C5" s="25" t="s">
        <v>429</v>
      </c>
      <c r="D5" s="25" t="s">
        <v>430</v>
      </c>
      <c r="E5" s="25" t="s">
        <v>419</v>
      </c>
    </row>
    <row r="6" customFormat="false" ht="29.85" hidden="false" customHeight="false" outlineLevel="0" collapsed="false">
      <c r="A6" s="24" t="s">
        <v>431</v>
      </c>
      <c r="B6" s="24" t="s">
        <v>432</v>
      </c>
      <c r="C6" s="24" t="s">
        <v>433</v>
      </c>
      <c r="D6" s="25" t="s">
        <v>434</v>
      </c>
      <c r="E6" s="25" t="s">
        <v>419</v>
      </c>
    </row>
    <row r="7" customFormat="false" ht="15" hidden="false" customHeight="false" outlineLevel="0" collapsed="false">
      <c r="A7" s="25" t="s">
        <v>435</v>
      </c>
      <c r="B7" s="24" t="s">
        <v>436</v>
      </c>
      <c r="C7" s="25" t="s">
        <v>437</v>
      </c>
      <c r="D7" s="25" t="s">
        <v>438</v>
      </c>
      <c r="E7" s="25" t="s">
        <v>419</v>
      </c>
    </row>
    <row r="8" customFormat="false" ht="15" hidden="false" customHeight="false" outlineLevel="0" collapsed="false">
      <c r="A8" s="24" t="s">
        <v>439</v>
      </c>
      <c r="B8" s="24" t="s">
        <v>440</v>
      </c>
      <c r="C8" s="24" t="s">
        <v>441</v>
      </c>
      <c r="D8" s="25" t="s">
        <v>442</v>
      </c>
      <c r="E8" s="25" t="s">
        <v>419</v>
      </c>
    </row>
    <row r="9" customFormat="false" ht="15" hidden="false" customHeight="false" outlineLevel="0" collapsed="false">
      <c r="A9" s="24" t="s">
        <v>443</v>
      </c>
      <c r="B9" s="24" t="s">
        <v>444</v>
      </c>
      <c r="C9" s="24" t="s">
        <v>445</v>
      </c>
      <c r="D9" s="25" t="s">
        <v>446</v>
      </c>
      <c r="E9" s="25" t="s">
        <v>419</v>
      </c>
    </row>
    <row r="10" customFormat="false" ht="15" hidden="false" customHeight="false" outlineLevel="0" collapsed="false">
      <c r="A10" s="24" t="s">
        <v>447</v>
      </c>
      <c r="B10" s="24" t="s">
        <v>448</v>
      </c>
      <c r="C10" s="24" t="s">
        <v>449</v>
      </c>
      <c r="D10" s="25" t="s">
        <v>446</v>
      </c>
      <c r="E10" s="25" t="s">
        <v>419</v>
      </c>
    </row>
    <row r="11" customFormat="false" ht="29.85" hidden="false" customHeight="false" outlineLevel="0" collapsed="false">
      <c r="A11" s="25" t="s">
        <v>450</v>
      </c>
      <c r="B11" s="25" t="s">
        <v>451</v>
      </c>
      <c r="C11" s="25" t="s">
        <v>452</v>
      </c>
      <c r="D11" s="25" t="s">
        <v>453</v>
      </c>
      <c r="E11" s="25" t="s">
        <v>419</v>
      </c>
    </row>
    <row r="12" customFormat="false" ht="29.85" hidden="false" customHeight="false" outlineLevel="0" collapsed="false">
      <c r="A12" s="24" t="s">
        <v>454</v>
      </c>
      <c r="B12" s="24" t="s">
        <v>455</v>
      </c>
      <c r="C12" s="25" t="s">
        <v>456</v>
      </c>
      <c r="D12" s="25" t="s">
        <v>457</v>
      </c>
      <c r="E12" s="25" t="s">
        <v>419</v>
      </c>
    </row>
    <row r="13" customFormat="false" ht="26.85" hidden="false" customHeight="false" outlineLevel="0" collapsed="false">
      <c r="A13" s="25" t="s">
        <v>458</v>
      </c>
      <c r="B13" s="24" t="s">
        <v>459</v>
      </c>
      <c r="C13" s="25" t="s">
        <v>460</v>
      </c>
      <c r="D13" s="25" t="s">
        <v>461</v>
      </c>
      <c r="E13" s="25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6"/>
  </cols>
  <sheetData>
    <row r="1" customFormat="false" ht="29.85" hidden="false" customHeight="false" outlineLevel="0" collapsed="false">
      <c r="A1" s="23" t="s">
        <v>462</v>
      </c>
      <c r="B1" s="23" t="s">
        <v>463</v>
      </c>
      <c r="C1" s="23" t="s">
        <v>464</v>
      </c>
      <c r="D1" s="23" t="s">
        <v>465</v>
      </c>
      <c r="E1" s="23" t="s">
        <v>466</v>
      </c>
    </row>
    <row r="2" customFormat="false" ht="29.85" hidden="false" customHeight="false" outlineLevel="0" collapsed="false">
      <c r="A2" s="24" t="s">
        <v>467</v>
      </c>
      <c r="B2" s="24" t="s">
        <v>468</v>
      </c>
      <c r="C2" s="24" t="s">
        <v>349</v>
      </c>
      <c r="D2" s="25" t="s">
        <v>469</v>
      </c>
      <c r="E2" s="25" t="s">
        <v>470</v>
      </c>
    </row>
    <row r="3" customFormat="false" ht="23.85" hidden="false" customHeight="false" outlineLevel="0" collapsed="false">
      <c r="A3" s="24" t="s">
        <v>467</v>
      </c>
      <c r="B3" s="24" t="s">
        <v>471</v>
      </c>
      <c r="C3" s="24" t="s">
        <v>472</v>
      </c>
      <c r="D3" s="25" t="s">
        <v>473</v>
      </c>
      <c r="E3" s="25" t="s">
        <v>474</v>
      </c>
    </row>
    <row r="4" customFormat="false" ht="15" hidden="false" customHeight="false" outlineLevel="0" collapsed="false">
      <c r="A4" s="24" t="s">
        <v>467</v>
      </c>
      <c r="B4" s="24" t="s">
        <v>475</v>
      </c>
      <c r="C4" s="24" t="s">
        <v>349</v>
      </c>
      <c r="D4" s="25" t="s">
        <v>473</v>
      </c>
      <c r="E4" s="25" t="s">
        <v>476</v>
      </c>
    </row>
    <row r="5" customFormat="false" ht="15" hidden="false" customHeight="false" outlineLevel="0" collapsed="false">
      <c r="A5" s="24" t="s">
        <v>467</v>
      </c>
      <c r="B5" s="24" t="s">
        <v>477</v>
      </c>
      <c r="C5" s="24" t="s">
        <v>349</v>
      </c>
      <c r="D5" s="25" t="s">
        <v>478</v>
      </c>
      <c r="E5" s="25" t="s">
        <v>479</v>
      </c>
    </row>
    <row r="6" customFormat="false" ht="15" hidden="false" customHeight="false" outlineLevel="0" collapsed="false">
      <c r="A6" s="24" t="s">
        <v>480</v>
      </c>
      <c r="B6" s="24" t="s">
        <v>481</v>
      </c>
      <c r="C6" s="24" t="s">
        <v>482</v>
      </c>
      <c r="D6" s="25" t="s">
        <v>469</v>
      </c>
      <c r="E6" s="25" t="s">
        <v>483</v>
      </c>
    </row>
    <row r="7" customFormat="false" ht="15" hidden="false" customHeight="false" outlineLevel="0" collapsed="false">
      <c r="A7" s="24" t="s">
        <v>480</v>
      </c>
      <c r="B7" s="24" t="s">
        <v>484</v>
      </c>
      <c r="C7" s="24" t="s">
        <v>349</v>
      </c>
      <c r="D7" s="25" t="s">
        <v>469</v>
      </c>
      <c r="E7" s="25" t="s">
        <v>485</v>
      </c>
    </row>
    <row r="8" customFormat="false" ht="15" hidden="false" customHeight="false" outlineLevel="0" collapsed="false">
      <c r="A8" s="24" t="s">
        <v>480</v>
      </c>
      <c r="B8" s="24" t="s">
        <v>486</v>
      </c>
      <c r="C8" s="24" t="s">
        <v>349</v>
      </c>
      <c r="D8" s="25" t="s">
        <v>469</v>
      </c>
      <c r="E8" s="24" t="s">
        <v>487</v>
      </c>
    </row>
    <row r="9" customFormat="false" ht="15" hidden="false" customHeight="false" outlineLevel="0" collapsed="false">
      <c r="A9" s="24" t="s">
        <v>480</v>
      </c>
      <c r="B9" s="24" t="s">
        <v>488</v>
      </c>
      <c r="C9" s="24" t="s">
        <v>349</v>
      </c>
      <c r="D9" s="25" t="s">
        <v>469</v>
      </c>
      <c r="E9" s="25" t="s">
        <v>489</v>
      </c>
    </row>
    <row r="10" customFormat="false" ht="15" hidden="false" customHeight="false" outlineLevel="0" collapsed="false">
      <c r="A10" s="24" t="s">
        <v>490</v>
      </c>
      <c r="B10" s="24" t="s">
        <v>491</v>
      </c>
      <c r="C10" s="24" t="s">
        <v>349</v>
      </c>
      <c r="D10" s="25" t="s">
        <v>478</v>
      </c>
      <c r="E10" s="24" t="s">
        <v>492</v>
      </c>
    </row>
    <row r="11" customFormat="false" ht="15" hidden="false" customHeight="false" outlineLevel="0" collapsed="false">
      <c r="A11" s="24" t="s">
        <v>490</v>
      </c>
      <c r="B11" s="24" t="s">
        <v>493</v>
      </c>
      <c r="C11" s="24" t="s">
        <v>376</v>
      </c>
      <c r="D11" s="25" t="s">
        <v>469</v>
      </c>
      <c r="E11" s="25" t="s">
        <v>494</v>
      </c>
    </row>
    <row r="12" customFormat="false" ht="15" hidden="false" customHeight="false" outlineLevel="0" collapsed="false">
      <c r="A12" s="24" t="s">
        <v>490</v>
      </c>
      <c r="B12" s="24" t="s">
        <v>495</v>
      </c>
      <c r="C12" s="24" t="s">
        <v>349</v>
      </c>
      <c r="D12" s="25" t="s">
        <v>478</v>
      </c>
      <c r="E12" s="24" t="s">
        <v>496</v>
      </c>
    </row>
    <row r="13" customFormat="false" ht="15" hidden="false" customHeight="false" outlineLevel="0" collapsed="false">
      <c r="A13" s="24" t="s">
        <v>490</v>
      </c>
      <c r="B13" s="24" t="s">
        <v>497</v>
      </c>
      <c r="C13" s="24" t="s">
        <v>349</v>
      </c>
      <c r="D13" s="25" t="s">
        <v>473</v>
      </c>
      <c r="E13" s="25" t="s">
        <v>498</v>
      </c>
    </row>
    <row r="14" customFormat="false" ht="15" hidden="false" customHeight="false" outlineLevel="0" collapsed="false">
      <c r="A14" s="24" t="s">
        <v>499</v>
      </c>
      <c r="B14" s="24" t="s">
        <v>500</v>
      </c>
      <c r="C14" s="24" t="s">
        <v>349</v>
      </c>
      <c r="D14" s="25" t="s">
        <v>473</v>
      </c>
      <c r="E14" s="25" t="s">
        <v>501</v>
      </c>
    </row>
    <row r="15" customFormat="false" ht="15" hidden="false" customHeight="false" outlineLevel="0" collapsed="false">
      <c r="A15" s="24" t="s">
        <v>499</v>
      </c>
      <c r="B15" s="24" t="s">
        <v>502</v>
      </c>
      <c r="C15" s="24" t="s">
        <v>349</v>
      </c>
      <c r="D15" s="25" t="s">
        <v>473</v>
      </c>
      <c r="E15" s="25" t="s">
        <v>503</v>
      </c>
    </row>
    <row r="16" customFormat="false" ht="15" hidden="false" customHeight="false" outlineLevel="0" collapsed="false">
      <c r="A16" s="24" t="s">
        <v>499</v>
      </c>
      <c r="B16" s="24" t="s">
        <v>504</v>
      </c>
      <c r="C16" s="24" t="s">
        <v>349</v>
      </c>
      <c r="D16" s="25" t="s">
        <v>473</v>
      </c>
      <c r="E16" s="25" t="s">
        <v>505</v>
      </c>
    </row>
    <row r="17" customFormat="false" ht="15" hidden="false" customHeight="false" outlineLevel="0" collapsed="false">
      <c r="A17" s="24" t="s">
        <v>499</v>
      </c>
      <c r="B17" s="24" t="s">
        <v>506</v>
      </c>
      <c r="C17" s="24" t="s">
        <v>349</v>
      </c>
      <c r="D17" s="25" t="s">
        <v>507</v>
      </c>
      <c r="E17" s="25" t="s">
        <v>508</v>
      </c>
    </row>
    <row r="18" customFormat="false" ht="23.85" hidden="false" customHeight="false" outlineLevel="0" collapsed="false">
      <c r="A18" s="24" t="s">
        <v>509</v>
      </c>
      <c r="B18" s="24" t="s">
        <v>510</v>
      </c>
      <c r="C18" s="24" t="s">
        <v>359</v>
      </c>
      <c r="D18" s="25" t="s">
        <v>473</v>
      </c>
      <c r="E18" s="24" t="s">
        <v>511</v>
      </c>
    </row>
    <row r="19" customFormat="false" ht="23.85" hidden="false" customHeight="false" outlineLevel="0" collapsed="false">
      <c r="A19" s="24" t="s">
        <v>509</v>
      </c>
      <c r="B19" s="24" t="s">
        <v>512</v>
      </c>
      <c r="C19" s="24" t="s">
        <v>359</v>
      </c>
      <c r="D19" s="25" t="s">
        <v>473</v>
      </c>
      <c r="E19" s="25" t="s">
        <v>513</v>
      </c>
    </row>
    <row r="20" customFormat="false" ht="23.85" hidden="false" customHeight="false" outlineLevel="0" collapsed="false">
      <c r="A20" s="24" t="s">
        <v>509</v>
      </c>
      <c r="B20" s="24" t="s">
        <v>514</v>
      </c>
      <c r="C20" s="24" t="s">
        <v>322</v>
      </c>
      <c r="D20" s="25" t="s">
        <v>469</v>
      </c>
      <c r="E20" s="25" t="s">
        <v>515</v>
      </c>
    </row>
    <row r="21" customFormat="false" ht="23.85" hidden="false" customHeight="false" outlineLevel="0" collapsed="false">
      <c r="A21" s="24" t="s">
        <v>509</v>
      </c>
      <c r="B21" s="24" t="s">
        <v>516</v>
      </c>
      <c r="C21" s="24" t="s">
        <v>517</v>
      </c>
      <c r="D21" s="25" t="s">
        <v>469</v>
      </c>
      <c r="E21" s="25" t="s">
        <v>518</v>
      </c>
    </row>
    <row r="22" customFormat="false" ht="15" hidden="false" customHeight="false" outlineLevel="0" collapsed="false">
      <c r="A22" s="24" t="s">
        <v>519</v>
      </c>
      <c r="B22" s="24" t="s">
        <v>520</v>
      </c>
      <c r="C22" s="24" t="s">
        <v>349</v>
      </c>
      <c r="D22" s="25" t="s">
        <v>469</v>
      </c>
      <c r="E22" s="25" t="s">
        <v>521</v>
      </c>
    </row>
    <row r="23" customFormat="false" ht="15" hidden="false" customHeight="false" outlineLevel="0" collapsed="false">
      <c r="A23" s="24" t="s">
        <v>519</v>
      </c>
      <c r="B23" s="24" t="s">
        <v>522</v>
      </c>
      <c r="C23" s="24" t="s">
        <v>349</v>
      </c>
      <c r="D23" s="25" t="s">
        <v>469</v>
      </c>
      <c r="E23" s="25" t="s">
        <v>523</v>
      </c>
    </row>
    <row r="24" customFormat="false" ht="23.85" hidden="false" customHeight="false" outlineLevel="0" collapsed="false">
      <c r="A24" s="24" t="s">
        <v>519</v>
      </c>
      <c r="B24" s="24" t="s">
        <v>524</v>
      </c>
      <c r="C24" s="24" t="s">
        <v>349</v>
      </c>
      <c r="D24" s="25" t="s">
        <v>473</v>
      </c>
      <c r="E24" s="24" t="s">
        <v>525</v>
      </c>
    </row>
    <row r="25" customFormat="false" ht="15" hidden="false" customHeight="false" outlineLevel="0" collapsed="false">
      <c r="A25" s="24" t="s">
        <v>519</v>
      </c>
      <c r="B25" s="24" t="s">
        <v>526</v>
      </c>
      <c r="C25" s="24" t="s">
        <v>349</v>
      </c>
      <c r="D25" s="25" t="s">
        <v>473</v>
      </c>
      <c r="E25" s="25" t="s">
        <v>527</v>
      </c>
    </row>
    <row r="26" customFormat="false" ht="15" hidden="false" customHeight="false" outlineLevel="0" collapsed="false">
      <c r="A26" s="24" t="s">
        <v>528</v>
      </c>
      <c r="B26" s="24" t="s">
        <v>529</v>
      </c>
      <c r="C26" s="24" t="s">
        <v>318</v>
      </c>
      <c r="D26" s="25" t="s">
        <v>469</v>
      </c>
      <c r="E26" s="25" t="s">
        <v>530</v>
      </c>
    </row>
    <row r="27" customFormat="false" ht="15" hidden="false" customHeight="false" outlineLevel="0" collapsed="false">
      <c r="A27" s="24" t="s">
        <v>528</v>
      </c>
      <c r="B27" s="24" t="s">
        <v>531</v>
      </c>
      <c r="C27" s="24" t="s">
        <v>318</v>
      </c>
      <c r="D27" s="25" t="s">
        <v>473</v>
      </c>
      <c r="E27" s="25" t="s">
        <v>532</v>
      </c>
    </row>
    <row r="28" customFormat="false" ht="15" hidden="false" customHeight="false" outlineLevel="0" collapsed="false">
      <c r="A28" s="24" t="s">
        <v>528</v>
      </c>
      <c r="B28" s="24" t="s">
        <v>533</v>
      </c>
      <c r="C28" s="24" t="s">
        <v>376</v>
      </c>
      <c r="D28" s="25" t="s">
        <v>473</v>
      </c>
      <c r="E28" s="25" t="s">
        <v>534</v>
      </c>
    </row>
    <row r="29" customFormat="false" ht="15" hidden="false" customHeight="false" outlineLevel="0" collapsed="false">
      <c r="A29" s="28"/>
      <c r="B29" s="28"/>
      <c r="C29" s="28"/>
      <c r="D29" s="28"/>
      <c r="E29" s="28"/>
    </row>
    <row r="30" customFormat="false" ht="29.85" hidden="false" customHeight="false" outlineLevel="0" collapsed="false">
      <c r="A30" s="25" t="s">
        <v>535</v>
      </c>
      <c r="B30" s="25" t="s">
        <v>536</v>
      </c>
      <c r="C30" s="25" t="s">
        <v>537</v>
      </c>
      <c r="D30" s="24"/>
      <c r="E30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23" t="s">
        <v>1</v>
      </c>
      <c r="B1" s="23" t="s">
        <v>538</v>
      </c>
      <c r="C1" s="23" t="s">
        <v>539</v>
      </c>
      <c r="D1" s="23" t="s">
        <v>540</v>
      </c>
    </row>
    <row r="2" customFormat="false" ht="15" hidden="false" customHeight="false" outlineLevel="0" collapsed="false">
      <c r="A2" s="24" t="s">
        <v>541</v>
      </c>
      <c r="B2" s="24" t="s">
        <v>542</v>
      </c>
      <c r="C2" s="24" t="s">
        <v>543</v>
      </c>
      <c r="D2" s="25" t="s">
        <v>544</v>
      </c>
    </row>
    <row r="3" customFormat="false" ht="29.85" hidden="false" customHeight="false" outlineLevel="0" collapsed="false">
      <c r="A3" s="24" t="s">
        <v>545</v>
      </c>
      <c r="B3" s="24" t="s">
        <v>546</v>
      </c>
      <c r="C3" s="24" t="s">
        <v>543</v>
      </c>
      <c r="D3" s="25" t="s">
        <v>547</v>
      </c>
    </row>
    <row r="4" customFormat="false" ht="58.2" hidden="false" customHeight="false" outlineLevel="0" collapsed="false">
      <c r="A4" s="24" t="s">
        <v>548</v>
      </c>
      <c r="B4" s="24" t="s">
        <v>549</v>
      </c>
      <c r="C4" s="24" t="s">
        <v>543</v>
      </c>
      <c r="D4" s="25" t="s">
        <v>550</v>
      </c>
    </row>
    <row r="5" customFormat="false" ht="44" hidden="false" customHeight="false" outlineLevel="0" collapsed="false">
      <c r="A5" s="24" t="s">
        <v>551</v>
      </c>
      <c r="B5" s="24" t="s">
        <v>542</v>
      </c>
      <c r="C5" s="24" t="s">
        <v>543</v>
      </c>
      <c r="D5" s="25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2026-10-29T00:45:00Z</dcterms:created>
  <dc:creator>openpyxl</dc:creator>
  <dc:description/>
  <dc:language>en-US</dc:language>
  <cp:lastModifiedBy/>
  <dcterms:modified xsi:type="dcterms:W3CDTF">2026-10-29T00:45:00Z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